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_Level_Data" sheetId="1" state="visible" r:id="rId3"/>
    <sheet name="Summary_St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<sst xmlns="http://schemas.openxmlformats.org/spreadsheetml/2006/main" count="60" uniqueCount="54">
  <si>
    <t xml:space="preserve">State_UT</t>
  </si>
  <si>
    <t xml:space="preserve">High Blood Sugar - Women (%)</t>
  </si>
  <si>
    <t xml:space="preserve">High Blood Sugar - Men (%)</t>
  </si>
  <si>
    <t xml:space="preserve">Elevated Blood Pressure - Women (%)</t>
  </si>
  <si>
    <t xml:space="preserve">Elevated Blood Pressure - Men (%)</t>
  </si>
  <si>
    <t xml:space="preserve">Overweight/Obese - Women (%)</t>
  </si>
  <si>
    <t xml:space="preserve">Overweight/Obese - Men (%)</t>
  </si>
  <si>
    <t xml:space="preserve">Andaman &amp; Nicobar Islands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</si>
  <si>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</si>
  <si>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</si>
  <si>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</si>
  <si>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</si>
  <si>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Chandigarh</t>
  </si>
  <si>
    <t xml:space="preserve">Chhattisgarh</t>
  </si>
  <si>
    <t xml:space="preserve">Dadra and Nagar Haveli &amp; Daman and Diu</t>
  </si>
  <si>
    <t xml:space="preserve">Goa</t>
  </si>
  <si>
    <t xml:space="preserve">Gujarat</t>
  </si>
  <si>
    <t xml:space="preserve">Haryana</t>
  </si>
  <si>
    <t xml:space="preserve">Himachal Pradesh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</si>
  <si>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</si>
  <si>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</si>
  <si>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</si>
  <si>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</si>
  <si>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Ladakh</t>
  </si>
  <si>
    <t xml:space="preserve">Lakshadweep</t>
  </si>
  <si>
    <t xml:space="preserve">Madhya Pradesh</t>
  </si>
  <si>
    <t xml:space="preserve">Maharastra</t>
  </si>
  <si>
    <t xml:space="preserve">Manipur</t>
  </si>
  <si>
    <t xml:space="preserve">Meghalaya</t>
  </si>
  <si>
    <t xml:space="preserve">Mizoram</t>
  </si>
  <si>
    <t xml:space="preserve">Nagaland</t>
  </si>
  <si>
    <t xml:space="preserve">NCT of Delhi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</si>
  <si>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</si>
  <si>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</si>
  <si>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</si>
  <si>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</si>
  <si>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</si>
  <si>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</si>
  <si>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</si>
  <si>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</si>
  <si>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</si>
  <si>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</si>
  <si>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</si>
  <si>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EXPLORATORY ANALYSIS - Individual Indicators (36 States/UTs, Total area, excluding India) - CORRECTED</t>
  </si>
  <si>
    <t xml:space="preserve">Indicator</t>
  </si>
  <si>
    <t xml:space="preserve">National Figure (India, reported)</t>
  </si>
  <si>
    <t xml:space="preserve">Average of States (unweighted)</t>
  </si>
  <si>
    <t xml:space="preserve">Median of States</t>
  </si>
  <si>
    <t xml:space="preserve">Highest State</t>
  </si>
  <si>
    <t xml:space="preserve">Highest Value</t>
  </si>
  <si>
    <t xml:space="preserve">Lowest State</t>
  </si>
  <si>
    <t xml:space="preserve">Lowest Value</t>
  </si>
  <si>
    <t xml:space="preserve">Spread (Max-Min)</t>
  </si>
  <si>
    <t xml:space="preserve">Note: 'National Figure' uses India's own reported Total row. 'Average of States' is an unweighted average across 36 states/UTs. Data corrected on [date] after Python validation caught 2 additional mis-parsed negative values in the Overweight columns (see DATA_QUALITY_CHECK log).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</si>
</sst>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22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17.47</v>
      </c>
      <c r="C2" s="2" t="n">
        <v>17.93</v>
      </c>
      <c r="D2" s="2" t="n">
        <v>25.29</v>
      </c>
      <c r="E2" s="2" t="n">
        <v>30.16</v>
      </c>
      <c r="F2" s="2" t="n">
        <v>38.11</v>
      </c>
      <c r="G2" s="2" t="n">
        <v>45.3</v>
      </c>
    </row>
    <row r="3" customFormat="false" ht="15" hidden="false" customHeight="false" outlineLevel="0" collapsed="false">
      <c r="A3" s="2" t="s">
        <v>8</v>
      </c>
      <c r="B3" s="2" t="n">
        <v>19.5</v>
      </c>
      <c r="C3" s="2" t="n">
        <v>21.81</v>
      </c>
      <c r="D3" s="2" t="n">
        <v>25.26</v>
      </c>
      <c r="E3" s="2" t="n">
        <v>29</v>
      </c>
      <c r="F3" s="2" t="n">
        <v>36.25</v>
      </c>
      <c r="G3" s="2" t="n">
        <v>31.08</v>
      </c>
    </row>
    <row r="4" customFormat="false" ht="15" hidden="false" customHeight="false" outlineLevel="0" collapsed="false">
      <c r="A4" s="2" t="s">
        <v>9</v>
      </c>
      <c r="B4" s="2" t="n">
        <v>8.39</v>
      </c>
      <c r="C4" s="2" t="n">
        <v>11.87</v>
      </c>
      <c r="D4" s="2" t="n">
        <v>24.88</v>
      </c>
      <c r="E4" s="2" t="n">
        <v>33.07</v>
      </c>
      <c r="F4" s="2" t="n">
        <v>23.87</v>
      </c>
      <c r="G4" s="2" t="n">
        <v>27.57</v>
      </c>
    </row>
    <row r="5" customFormat="false" ht="15" hidden="false" customHeight="false" outlineLevel="0" collapsed="false">
      <c r="A5" s="2" t="s">
        <v>10</v>
      </c>
      <c r="B5" s="2" t="n">
        <v>12.8</v>
      </c>
      <c r="C5" s="2" t="n">
        <v>15.98</v>
      </c>
      <c r="D5" s="2" t="n">
        <v>19.1</v>
      </c>
      <c r="E5" s="2" t="n">
        <v>20.26</v>
      </c>
      <c r="F5" s="2" t="n">
        <v>15.16</v>
      </c>
      <c r="G5" s="2" t="n">
        <v>16.22</v>
      </c>
    </row>
    <row r="6" customFormat="false" ht="15" hidden="false" customHeight="false" outlineLevel="0" collapsed="false">
      <c r="A6" s="2" t="s">
        <v>11</v>
      </c>
      <c r="B6" s="2" t="n">
        <v>12.71</v>
      </c>
      <c r="C6" s="2" t="n">
        <v>16.24</v>
      </c>
      <c r="D6" s="2" t="n">
        <v>15.92</v>
      </c>
      <c r="E6" s="2" t="n">
        <v>18.36</v>
      </c>
      <c r="F6" s="2" t="n">
        <v>15.93</v>
      </c>
      <c r="G6" s="2" t="n">
        <v>14.66</v>
      </c>
    </row>
    <row r="7" customFormat="false" ht="15" hidden="false" customHeight="false" outlineLevel="0" collapsed="false">
      <c r="A7" s="2" t="s">
        <v>12</v>
      </c>
      <c r="B7" s="2" t="n">
        <v>18.95</v>
      </c>
      <c r="C7" s="2" t="n">
        <v>16.62</v>
      </c>
      <c r="D7" s="2" t="n">
        <v>25.03</v>
      </c>
      <c r="E7" s="2" t="n">
        <v>30.62</v>
      </c>
      <c r="F7" s="2" t="n">
        <v>44.02</v>
      </c>
      <c r="G7" s="2" t="n">
        <v>34.44</v>
      </c>
    </row>
    <row r="8" customFormat="false" ht="15" hidden="false" customHeight="false" outlineLevel="0" collapsed="false">
      <c r="A8" s="2" t="s">
        <v>13</v>
      </c>
      <c r="B8" s="2" t="n">
        <v>9.01</v>
      </c>
      <c r="C8" s="2" t="n">
        <v>10.83</v>
      </c>
      <c r="D8" s="2" t="n">
        <v>23.58</v>
      </c>
      <c r="E8" s="2" t="n">
        <v>27.7</v>
      </c>
      <c r="F8" s="2" t="n">
        <v>14.11</v>
      </c>
      <c r="G8" s="2" t="n">
        <v>14.94</v>
      </c>
    </row>
    <row r="9" customFormat="false" ht="15" hidden="false" customHeight="false" outlineLevel="0" collapsed="false">
      <c r="A9" s="2" t="s">
        <v>14</v>
      </c>
      <c r="B9" s="2" t="n">
        <v>13.6</v>
      </c>
      <c r="C9" s="2" t="n">
        <v>16.39</v>
      </c>
      <c r="D9" s="2" t="n">
        <v>14.91</v>
      </c>
      <c r="E9" s="2" t="n">
        <v>15.39</v>
      </c>
      <c r="F9" s="2" t="n">
        <v>26.84</v>
      </c>
      <c r="G9" s="2" t="n">
        <v>21.37</v>
      </c>
    </row>
    <row r="10" customFormat="false" ht="15" hidden="false" customHeight="false" outlineLevel="0" collapsed="false">
      <c r="A10" s="2" t="s">
        <v>15</v>
      </c>
      <c r="B10" s="2" t="n">
        <v>20.82</v>
      </c>
      <c r="C10" s="2" t="n">
        <v>24.13</v>
      </c>
      <c r="D10" s="2" t="n">
        <v>27.47</v>
      </c>
      <c r="E10" s="2" t="n">
        <v>26.82</v>
      </c>
      <c r="F10" s="2" t="n">
        <v>36.09</v>
      </c>
      <c r="G10" s="2" t="n">
        <v>32.56</v>
      </c>
    </row>
    <row r="11" customFormat="false" ht="15" hidden="false" customHeight="false" outlineLevel="0" collapsed="false">
      <c r="A11" s="2" t="s">
        <v>16</v>
      </c>
      <c r="B11" s="2" t="n">
        <v>15.84</v>
      </c>
      <c r="C11" s="2" t="n">
        <v>16.9</v>
      </c>
      <c r="D11" s="2" t="n">
        <v>20.55</v>
      </c>
      <c r="E11" s="2" t="n">
        <v>20.31</v>
      </c>
      <c r="F11" s="2" t="n">
        <v>22.64</v>
      </c>
      <c r="G11" s="2" t="n">
        <v>19.94</v>
      </c>
    </row>
    <row r="12" customFormat="false" ht="15" hidden="false" customHeight="false" outlineLevel="0" collapsed="false">
      <c r="A12" s="2" t="s">
        <v>17</v>
      </c>
      <c r="B12" s="2" t="n">
        <v>11.93</v>
      </c>
      <c r="C12" s="2" t="n">
        <v>13.46</v>
      </c>
      <c r="D12" s="2" t="n">
        <v>21.01</v>
      </c>
      <c r="E12" s="2" t="n">
        <v>25.12</v>
      </c>
      <c r="F12" s="2" t="n">
        <v>33.05</v>
      </c>
      <c r="G12" s="2" t="n">
        <v>28.32</v>
      </c>
    </row>
    <row r="13" customFormat="false" ht="15" hidden="false" customHeight="false" outlineLevel="0" collapsed="false">
      <c r="A13" s="2" t="s">
        <v>18</v>
      </c>
      <c r="B13" s="2" t="n">
        <v>13.88</v>
      </c>
      <c r="C13" s="2" t="n">
        <v>14.72</v>
      </c>
      <c r="D13" s="2" t="n">
        <v>22.21</v>
      </c>
      <c r="E13" s="2" t="n">
        <v>24.36</v>
      </c>
      <c r="F13" s="2" t="n">
        <v>30.43</v>
      </c>
      <c r="G13" s="2" t="n">
        <v>30.6</v>
      </c>
    </row>
    <row r="14" customFormat="false" ht="15" hidden="false" customHeight="false" outlineLevel="0" collapsed="false">
      <c r="A14" s="2" t="s">
        <v>19</v>
      </c>
      <c r="B14" s="2" t="n">
        <v>8.73</v>
      </c>
      <c r="C14" s="2" t="n">
        <v>8.02</v>
      </c>
      <c r="D14" s="2" t="n">
        <v>19.99</v>
      </c>
      <c r="E14" s="2" t="n">
        <v>18.94</v>
      </c>
      <c r="F14" s="2" t="n">
        <v>29.33</v>
      </c>
      <c r="G14" s="2" t="n">
        <v>31.63</v>
      </c>
    </row>
    <row r="15" customFormat="false" ht="15" hidden="false" customHeight="false" outlineLevel="0" collapsed="false">
      <c r="A15" s="2" t="s">
        <v>20</v>
      </c>
      <c r="B15" s="2" t="n">
        <v>10.19</v>
      </c>
      <c r="C15" s="2" t="n">
        <v>14.07</v>
      </c>
      <c r="D15" s="2" t="n">
        <v>17.78</v>
      </c>
      <c r="E15" s="2" t="n">
        <v>22.6</v>
      </c>
      <c r="F15" s="2" t="n">
        <v>11.85</v>
      </c>
      <c r="G15" s="2" t="n">
        <v>15.12</v>
      </c>
    </row>
    <row r="16" customFormat="false" ht="15" hidden="false" customHeight="false" outlineLevel="0" collapsed="false">
      <c r="A16" s="2" t="s">
        <v>21</v>
      </c>
      <c r="B16" s="2" t="n">
        <v>13.95</v>
      </c>
      <c r="C16" s="2" t="n">
        <v>15.55</v>
      </c>
      <c r="D16" s="2" t="n">
        <v>24.97</v>
      </c>
      <c r="E16" s="2" t="n">
        <v>26.88</v>
      </c>
      <c r="F16" s="2" t="n">
        <v>30.14</v>
      </c>
      <c r="G16" s="2" t="n">
        <v>30.85</v>
      </c>
    </row>
    <row r="17" customFormat="false" ht="15" hidden="false" customHeight="false" outlineLevel="0" collapsed="false">
      <c r="A17" s="2" t="s">
        <v>22</v>
      </c>
      <c r="B17" s="2" t="n">
        <v>24.82</v>
      </c>
      <c r="C17" s="2" t="n">
        <v>27.02</v>
      </c>
      <c r="D17" s="2" t="n">
        <v>30.88</v>
      </c>
      <c r="E17" s="2" t="n">
        <v>32.76</v>
      </c>
      <c r="F17" s="2" t="n">
        <v>38.12</v>
      </c>
      <c r="G17" s="2" t="n">
        <v>36.35</v>
      </c>
    </row>
    <row r="18" customFormat="false" ht="15" hidden="false" customHeight="false" outlineLevel="0" collapsed="false">
      <c r="A18" s="2" t="s">
        <v>23</v>
      </c>
      <c r="B18" s="2" t="n">
        <v>6.69</v>
      </c>
      <c r="C18" s="2" t="n">
        <v>8.27</v>
      </c>
      <c r="D18" s="2" t="n">
        <v>15.74</v>
      </c>
      <c r="E18" s="2" t="n">
        <v>17.43</v>
      </c>
      <c r="F18" s="2" t="n">
        <v>28.25</v>
      </c>
      <c r="G18" s="2" t="n">
        <v>37.75</v>
      </c>
    </row>
    <row r="19" customFormat="false" ht="15" hidden="false" customHeight="false" outlineLevel="0" collapsed="false">
      <c r="A19" s="2" t="s">
        <v>24</v>
      </c>
      <c r="B19" s="2" t="n">
        <v>19.54</v>
      </c>
      <c r="C19" s="2" t="n">
        <v>20.71</v>
      </c>
      <c r="D19" s="2" t="n">
        <v>24.81</v>
      </c>
      <c r="E19" s="2" t="n">
        <v>24.74</v>
      </c>
      <c r="F19" s="2" t="n">
        <v>33.52</v>
      </c>
      <c r="G19" s="2" t="n">
        <v>41.27</v>
      </c>
    </row>
    <row r="20" customFormat="false" ht="15" hidden="false" customHeight="false" outlineLevel="0" collapsed="false">
      <c r="A20" s="2" t="s">
        <v>25</v>
      </c>
      <c r="B20" s="2" t="n">
        <v>9.84</v>
      </c>
      <c r="C20" s="2" t="n">
        <v>12.21</v>
      </c>
      <c r="D20" s="2" t="n">
        <v>20.56</v>
      </c>
      <c r="E20" s="2" t="n">
        <v>22.65</v>
      </c>
      <c r="F20" s="2" t="n">
        <v>16.58</v>
      </c>
      <c r="G20" s="2" t="n">
        <v>15.57</v>
      </c>
    </row>
    <row r="21" customFormat="false" ht="15" hidden="false" customHeight="false" outlineLevel="0" collapsed="false">
      <c r="A21" s="2" t="s">
        <v>26</v>
      </c>
      <c r="B21" s="2" t="n">
        <v>12.37</v>
      </c>
      <c r="C21" s="2" t="n">
        <v>13.63</v>
      </c>
      <c r="D21" s="2" t="n">
        <v>23.14</v>
      </c>
      <c r="E21" s="2" t="n">
        <v>24.41</v>
      </c>
      <c r="F21" s="2" t="n">
        <v>23.43</v>
      </c>
      <c r="G21" s="2" t="n">
        <v>24.66</v>
      </c>
    </row>
    <row r="22" customFormat="false" ht="15" hidden="false" customHeight="false" outlineLevel="0" collapsed="false">
      <c r="A22" s="2" t="s">
        <v>27</v>
      </c>
      <c r="B22" s="2" t="n">
        <v>13.6</v>
      </c>
      <c r="C22" s="2" t="n">
        <v>16.47</v>
      </c>
      <c r="D22" s="2" t="n">
        <v>23.01</v>
      </c>
      <c r="E22" s="2" t="n">
        <v>33.19</v>
      </c>
      <c r="F22" s="2" t="n">
        <v>34.06</v>
      </c>
      <c r="G22" s="2" t="n">
        <v>30.25</v>
      </c>
    </row>
    <row r="23" customFormat="false" ht="15" hidden="false" customHeight="false" outlineLevel="0" collapsed="false">
      <c r="A23" s="2" t="s">
        <v>28</v>
      </c>
      <c r="B23" s="2" t="n">
        <v>9.48</v>
      </c>
      <c r="C23" s="2" t="n">
        <v>13.85</v>
      </c>
      <c r="D23" s="2" t="n">
        <v>18.72</v>
      </c>
      <c r="E23" s="2" t="n">
        <v>21.41</v>
      </c>
      <c r="F23" s="2" t="n">
        <v>11.48</v>
      </c>
      <c r="G23" s="2" t="n">
        <v>13.87</v>
      </c>
    </row>
    <row r="24" customFormat="false" ht="15" hidden="false" customHeight="false" outlineLevel="0" collapsed="false">
      <c r="A24" s="2" t="s">
        <v>29</v>
      </c>
      <c r="B24" s="2" t="n">
        <v>13.8</v>
      </c>
      <c r="C24" s="2" t="n">
        <v>15.44</v>
      </c>
      <c r="D24" s="2" t="n">
        <v>17.69</v>
      </c>
      <c r="E24" s="2" t="n">
        <v>25.2</v>
      </c>
      <c r="F24" s="2" t="n">
        <v>24.22</v>
      </c>
      <c r="G24" s="2" t="n">
        <v>31.88</v>
      </c>
    </row>
    <row r="25" customFormat="false" ht="15" hidden="false" customHeight="false" outlineLevel="0" collapsed="false">
      <c r="A25" s="2" t="s">
        <v>30</v>
      </c>
      <c r="B25" s="2" t="n">
        <v>9.26</v>
      </c>
      <c r="C25" s="2" t="n">
        <v>12.43</v>
      </c>
      <c r="D25" s="2" t="n">
        <v>22.36</v>
      </c>
      <c r="E25" s="2" t="n">
        <v>28.7</v>
      </c>
      <c r="F25" s="2" t="n">
        <v>14.44</v>
      </c>
      <c r="G25" s="2" t="n">
        <v>23.92</v>
      </c>
    </row>
    <row r="26" customFormat="false" ht="15" hidden="false" customHeight="false" outlineLevel="0" collapsed="false">
      <c r="A26" s="2" t="s">
        <v>31</v>
      </c>
      <c r="B26" s="2" t="n">
        <v>12.24</v>
      </c>
      <c r="C26" s="2" t="n">
        <v>14.05</v>
      </c>
      <c r="D26" s="2" t="n">
        <v>24.13</v>
      </c>
      <c r="E26" s="2" t="n">
        <v>32.75</v>
      </c>
      <c r="F26" s="2" t="n">
        <v>41.32</v>
      </c>
      <c r="G26" s="2" t="n">
        <v>37.99</v>
      </c>
    </row>
    <row r="27" customFormat="false" ht="15" hidden="false" customHeight="false" outlineLevel="0" collapsed="false">
      <c r="A27" s="2" t="s">
        <v>32</v>
      </c>
      <c r="B27" s="2" t="n">
        <v>13.97</v>
      </c>
      <c r="C27" s="2" t="n">
        <v>17.03</v>
      </c>
      <c r="D27" s="2" t="n">
        <v>22.37</v>
      </c>
      <c r="E27" s="2" t="n">
        <v>25.61</v>
      </c>
      <c r="F27" s="2" t="n">
        <v>22.97</v>
      </c>
      <c r="G27" s="2" t="n">
        <v>22.21</v>
      </c>
    </row>
    <row r="28" customFormat="false" ht="15" hidden="false" customHeight="false" outlineLevel="0" collapsed="false">
      <c r="A28" s="2" t="s">
        <v>33</v>
      </c>
      <c r="B28" s="2" t="n">
        <v>20.14</v>
      </c>
      <c r="C28" s="2" t="n">
        <v>21.73</v>
      </c>
      <c r="D28" s="2" t="n">
        <v>22.99</v>
      </c>
      <c r="E28" s="2" t="n">
        <v>30.11</v>
      </c>
      <c r="F28" s="2" t="n">
        <v>46.2</v>
      </c>
      <c r="G28" s="2" t="n">
        <v>43.29</v>
      </c>
    </row>
    <row r="29" customFormat="false" ht="15" hidden="false" customHeight="false" outlineLevel="0" collapsed="false">
      <c r="A29" s="2" t="s">
        <v>34</v>
      </c>
      <c r="B29" s="2" t="n">
        <v>14.74</v>
      </c>
      <c r="C29" s="2" t="n">
        <v>14.07</v>
      </c>
      <c r="D29" s="2" t="n">
        <v>31.19</v>
      </c>
      <c r="E29" s="2" t="n">
        <v>37.73</v>
      </c>
      <c r="F29" s="2" t="n">
        <v>40.81</v>
      </c>
      <c r="G29" s="2" t="n">
        <v>32.24</v>
      </c>
    </row>
    <row r="30" customFormat="false" ht="15" hidden="false" customHeight="false" outlineLevel="0" collapsed="false">
      <c r="A30" s="2" t="s">
        <v>35</v>
      </c>
      <c r="B30" s="2" t="n">
        <v>7.23</v>
      </c>
      <c r="C30" s="2" t="n">
        <v>8.94</v>
      </c>
      <c r="D30" s="2" t="n">
        <v>15.35</v>
      </c>
      <c r="E30" s="2" t="n">
        <v>17.88</v>
      </c>
      <c r="F30" s="2" t="n">
        <v>12.9</v>
      </c>
      <c r="G30" s="2" t="n">
        <v>14.97</v>
      </c>
    </row>
    <row r="31" customFormat="false" ht="15" hidden="false" customHeight="false" outlineLevel="0" collapsed="false">
      <c r="A31" s="2" t="s">
        <v>36</v>
      </c>
      <c r="B31" s="2" t="n">
        <v>12.2</v>
      </c>
      <c r="C31" s="2" t="n">
        <v>15.7</v>
      </c>
      <c r="D31" s="2" t="n">
        <v>34.53</v>
      </c>
      <c r="E31" s="2" t="n">
        <v>41.58</v>
      </c>
      <c r="F31" s="2" t="n">
        <v>34.71</v>
      </c>
      <c r="G31" s="2" t="n">
        <v>36.32</v>
      </c>
    </row>
    <row r="32" customFormat="false" ht="15" hidden="false" customHeight="false" outlineLevel="0" collapsed="false">
      <c r="A32" s="2" t="s">
        <v>37</v>
      </c>
      <c r="B32" s="2" t="n">
        <v>20.65</v>
      </c>
      <c r="C32" s="2" t="n">
        <v>22.06</v>
      </c>
      <c r="D32" s="2" t="n">
        <v>24.79</v>
      </c>
      <c r="E32" s="2" t="n">
        <v>30.15</v>
      </c>
      <c r="F32" s="2" t="n">
        <v>40.44</v>
      </c>
      <c r="G32" s="2" t="n">
        <v>37.02</v>
      </c>
    </row>
    <row r="33" customFormat="false" ht="15" hidden="false" customHeight="false" outlineLevel="0" collapsed="false">
      <c r="A33" s="2" t="s">
        <v>38</v>
      </c>
      <c r="B33" s="2" t="n">
        <v>14.74</v>
      </c>
      <c r="C33" s="2" t="n">
        <v>18.11</v>
      </c>
      <c r="D33" s="2" t="n">
        <v>26.09</v>
      </c>
      <c r="E33" s="2" t="n">
        <v>31.39</v>
      </c>
      <c r="F33" s="2" t="n">
        <v>30.09</v>
      </c>
      <c r="G33" s="2" t="n">
        <v>32.33</v>
      </c>
    </row>
    <row r="34" customFormat="false" ht="15" hidden="false" customHeight="false" outlineLevel="0" collapsed="false">
      <c r="A34" s="2" t="s">
        <v>39</v>
      </c>
      <c r="B34" s="2" t="n">
        <v>17.7</v>
      </c>
      <c r="C34" s="2" t="n">
        <v>19.33</v>
      </c>
      <c r="D34" s="2" t="n">
        <v>20.87</v>
      </c>
      <c r="E34" s="2" t="n">
        <v>22.67</v>
      </c>
      <c r="F34" s="2" t="n">
        <v>21.54</v>
      </c>
      <c r="G34" s="2" t="n">
        <v>23.43</v>
      </c>
    </row>
    <row r="35" customFormat="false" ht="15" hidden="false" customHeight="false" outlineLevel="0" collapsed="false">
      <c r="A35" s="2" t="s">
        <v>40</v>
      </c>
      <c r="B35" s="2" t="n">
        <v>9.97</v>
      </c>
      <c r="C35" s="2" t="n">
        <v>11.56</v>
      </c>
      <c r="D35" s="2" t="n">
        <v>18.35</v>
      </c>
      <c r="E35" s="2" t="n">
        <v>21.7</v>
      </c>
      <c r="F35" s="2" t="n">
        <v>21.34</v>
      </c>
      <c r="G35" s="2" t="n">
        <v>18.5</v>
      </c>
    </row>
    <row r="36" customFormat="false" ht="15" hidden="false" customHeight="false" outlineLevel="0" collapsed="false">
      <c r="A36" s="2" t="s">
        <v>41</v>
      </c>
      <c r="B36" s="2" t="n">
        <v>10.84</v>
      </c>
      <c r="C36" s="2" t="n">
        <v>14.25</v>
      </c>
      <c r="D36" s="2" t="n">
        <v>22.94</v>
      </c>
      <c r="E36" s="2" t="n">
        <v>31.8</v>
      </c>
      <c r="F36" s="2" t="n">
        <v>29.73</v>
      </c>
      <c r="G36" s="2" t="n">
        <v>27.07</v>
      </c>
    </row>
    <row r="37" customFormat="false" ht="15" hidden="false" customHeight="false" outlineLevel="0" collapsed="false">
      <c r="A37" s="2" t="s">
        <v>42</v>
      </c>
      <c r="B37" s="2" t="n">
        <v>17.49</v>
      </c>
      <c r="C37" s="2" t="n">
        <v>21.31</v>
      </c>
      <c r="D37" s="2" t="n">
        <v>20.46</v>
      </c>
      <c r="E37" s="2" t="n">
        <v>20.12</v>
      </c>
      <c r="F37" s="2" t="n">
        <v>22.73</v>
      </c>
      <c r="G37" s="2" t="n">
        <v>16.19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3" t="s">
        <v>43</v>
      </c>
      <c r="B1" s="3"/>
      <c r="C1" s="3"/>
      <c r="D1" s="3"/>
      <c r="E1" s="3"/>
      <c r="F1" s="3"/>
      <c r="G1" s="3"/>
      <c r="H1" s="3"/>
      <c r="I1" s="3"/>
    </row>
    <row r="3" customFormat="false" ht="26.85" hidden="false" customHeight="false" outlineLevel="0" collapsed="false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</row>
    <row r="4" customFormat="false" ht="15" hidden="false" customHeight="false" outlineLevel="0" collapsed="false">
      <c r="A4" s="4" t="s">
        <v>1</v>
      </c>
      <c r="B4" s="5" t="n">
        <v>13.51</v>
      </c>
      <c r="C4" s="5" t="n">
        <f aca="false">AVERAGE(State_Level_Data!B2:B37)</f>
        <v>13.8633333333333</v>
      </c>
      <c r="D4" s="5" t="n">
        <f aca="false">MEDIAN(State_Level_Data!B2:B37)</f>
        <v>13.6</v>
      </c>
      <c r="E4" s="5" t="str">
        <f aca="false">INDEX(State_Level_Data!A2:A37,MATCH(MAX(State_Level_Data!B2:B37),State_Level_Data!B2:B37,0))</f>
        <v>Kerala</v>
      </c>
      <c r="F4" s="5" t="n">
        <f aca="false">MAX(State_Level_Data!B2:B37)</f>
        <v>24.82</v>
      </c>
      <c r="G4" s="5" t="str">
        <f aca="false">INDEX(State_Level_Data!A2:A37,MATCH(MIN(State_Level_Data!B2:B37),State_Level_Data!B2:B37,0))</f>
        <v>Ladakh</v>
      </c>
      <c r="H4" s="5" t="n">
        <f aca="false">MIN(State_Level_Data!B2:B37)</f>
        <v>6.69</v>
      </c>
      <c r="I4" s="5" t="n">
        <f aca="false">F4-H4</f>
        <v>18.13</v>
      </c>
    </row>
    <row r="5" customFormat="false" ht="15" hidden="false" customHeight="false" outlineLevel="0" collapsed="false">
      <c r="A5" s="4" t="s">
        <v>2</v>
      </c>
      <c r="B5" s="5" t="n">
        <v>15.58</v>
      </c>
      <c r="C5" s="5" t="n">
        <f aca="false">AVERAGE(State_Level_Data!C2:C37)</f>
        <v>15.9080555555556</v>
      </c>
      <c r="D5" s="5" t="n">
        <f aca="false">MEDIAN(State_Level_Data!C2:C37)</f>
        <v>15.625</v>
      </c>
      <c r="E5" s="5" t="str">
        <f aca="false">INDEX(State_Level_Data!A2:A37,MATCH(MAX(State_Level_Data!C2:C37),State_Level_Data!C2:C37,0))</f>
        <v>Kerala</v>
      </c>
      <c r="F5" s="5" t="n">
        <f aca="false">MAX(State_Level_Data!C2:C37)</f>
        <v>27.02</v>
      </c>
      <c r="G5" s="5" t="str">
        <f aca="false">INDEX(State_Level_Data!A2:A37,MATCH(MIN(State_Level_Data!C2:C37),State_Level_Data!C2:C37,0))</f>
        <v>Jammu &amp; Kashmir</v>
      </c>
      <c r="H5" s="5" t="n">
        <f aca="false">MIN(State_Level_Data!C2:C37)</f>
        <v>8.02</v>
      </c>
      <c r="I5" s="5" t="n">
        <f aca="false">F5-H5</f>
        <v>19</v>
      </c>
    </row>
    <row r="6" customFormat="false" ht="15" hidden="false" customHeight="false" outlineLevel="0" collapsed="false">
      <c r="A6" s="4" t="s">
        <v>3</v>
      </c>
      <c r="B6" s="5" t="n">
        <v>21.28</v>
      </c>
      <c r="C6" s="5" t="n">
        <f aca="false">AVERAGE(State_Level_Data!D2:D37)</f>
        <v>22.47</v>
      </c>
      <c r="D6" s="5" t="n">
        <f aca="false">MEDIAN(State_Level_Data!D2:D37)</f>
        <v>22.655</v>
      </c>
      <c r="E6" s="5" t="str">
        <f aca="false">INDEX(State_Level_Data!A2:A37,MATCH(MAX(State_Level_Data!D2:D37),State_Level_Data!D2:D37,0))</f>
        <v>Sikkim</v>
      </c>
      <c r="F6" s="5" t="n">
        <f aca="false">MAX(State_Level_Data!D2:D37)</f>
        <v>34.53</v>
      </c>
      <c r="G6" s="5" t="str">
        <f aca="false">INDEX(State_Level_Data!A2:A37,MATCH(MIN(State_Level_Data!D2:D37),State_Level_Data!D2:D37,0))</f>
        <v>Dadra and Nagar Haveli &amp; Daman and Diu</v>
      </c>
      <c r="H6" s="5" t="n">
        <f aca="false">MIN(State_Level_Data!D2:D37)</f>
        <v>14.91</v>
      </c>
      <c r="I6" s="5" t="n">
        <f aca="false">F6-H6</f>
        <v>19.62</v>
      </c>
    </row>
    <row r="7" customFormat="false" ht="15" hidden="false" customHeight="false" outlineLevel="0" collapsed="false">
      <c r="A7" s="4" t="s">
        <v>4</v>
      </c>
      <c r="B7" s="5" t="n">
        <v>23.98</v>
      </c>
      <c r="C7" s="5" t="n">
        <f aca="false">AVERAGE(State_Level_Data!E2:E37)</f>
        <v>26.2102777777778</v>
      </c>
      <c r="D7" s="5" t="n">
        <f aca="false">MEDIAN(State_Level_Data!E2:E37)</f>
        <v>25.405</v>
      </c>
      <c r="E7" s="5" t="str">
        <f aca="false">INDEX(State_Level_Data!A2:A37,MATCH(MAX(State_Level_Data!E2:E37),State_Level_Data!E2:E37,0))</f>
        <v>Sikkim</v>
      </c>
      <c r="F7" s="5" t="n">
        <f aca="false">MAX(State_Level_Data!E2:E37)</f>
        <v>41.58</v>
      </c>
      <c r="G7" s="5" t="str">
        <f aca="false">INDEX(State_Level_Data!A2:A37,MATCH(MIN(State_Level_Data!E2:E37),State_Level_Data!E2:E37,0))</f>
        <v>Dadra and Nagar Haveli &amp; Daman and Diu</v>
      </c>
      <c r="H7" s="5" t="n">
        <f aca="false">MIN(State_Level_Data!E2:E37)</f>
        <v>15.39</v>
      </c>
      <c r="I7" s="5" t="n">
        <f aca="false">F7-H7</f>
        <v>26.19</v>
      </c>
    </row>
    <row r="8" customFormat="false" ht="15" hidden="false" customHeight="false" outlineLevel="0" collapsed="false">
      <c r="A8" s="4" t="s">
        <v>5</v>
      </c>
      <c r="B8" s="5" t="n">
        <v>24.02</v>
      </c>
      <c r="C8" s="5" t="n">
        <f aca="false">AVERAGE(State_Level_Data!F2:F37)</f>
        <v>27.6861111111111</v>
      </c>
      <c r="D8" s="5" t="n">
        <f aca="false">MEDIAN(State_Level_Data!F2:F37)</f>
        <v>28.79</v>
      </c>
      <c r="E8" s="5" t="str">
        <f aca="false">INDEX(State_Level_Data!A2:A37,MATCH(MAX(State_Level_Data!F2:F37),State_Level_Data!F2:F37,0))</f>
        <v>Puducherry</v>
      </c>
      <c r="F8" s="5" t="n">
        <f aca="false">MAX(State_Level_Data!F2:F37)</f>
        <v>46.2</v>
      </c>
      <c r="G8" s="5" t="str">
        <f aca="false">INDEX(State_Level_Data!A2:A37,MATCH(MIN(State_Level_Data!F2:F37),State_Level_Data!F2:F37,0))</f>
        <v>Meghalaya</v>
      </c>
      <c r="H8" s="5" t="n">
        <f aca="false">MIN(State_Level_Data!F2:F37)</f>
        <v>11.48</v>
      </c>
      <c r="I8" s="5" t="n">
        <f aca="false">F8-H8</f>
        <v>34.72</v>
      </c>
    </row>
    <row r="9" customFormat="false" ht="15" hidden="false" customHeight="false" outlineLevel="0" collapsed="false">
      <c r="A9" s="4" t="s">
        <v>6</v>
      </c>
      <c r="B9" s="5" t="n">
        <v>22.88</v>
      </c>
      <c r="C9" s="5" t="n">
        <f aca="false">AVERAGE(State_Level_Data!G2:G37)</f>
        <v>27.5466666666667</v>
      </c>
      <c r="D9" s="5" t="n">
        <f aca="false">MEDIAN(State_Level_Data!G2:G37)</f>
        <v>29.285</v>
      </c>
      <c r="E9" s="5" t="str">
        <f aca="false">INDEX(State_Level_Data!A2:A37,MATCH(MAX(State_Level_Data!G2:G37),State_Level_Data!G2:G37,0))</f>
        <v>Andaman &amp; Nicobar Islands</v>
      </c>
      <c r="F9" s="5" t="n">
        <f aca="false">MAX(State_Level_Data!G2:G37)</f>
        <v>45.3</v>
      </c>
      <c r="G9" s="5" t="str">
        <f aca="false">INDEX(State_Level_Data!A2:A37,MATCH(MIN(State_Level_Data!G2:G37),State_Level_Data!G2:G37,0))</f>
        <v>Meghalaya</v>
      </c>
      <c r="H9" s="5" t="n">
        <f aca="false">MIN(State_Level_Data!G2:G37)</f>
        <v>13.87</v>
      </c>
      <c r="I9" s="5" t="n">
        <f aca="false">F9-H9</f>
        <v>31.43</v>
      </c>
    </row>
    <row r="11" customFormat="false" ht="39.75" hidden="false" customHeight="true" outlineLevel="0" collapsed="false">
      <c r="A11" s="6" t="s">
        <v>53</v>
      </c>
      <c r="B11" s="6"/>
      <c r="C11" s="6"/>
      <c r="D11" s="6"/>
      <c r="E11" s="6"/>
      <c r="F11" s="6"/>
      <c r="G11" s="6"/>
      <c r="H11" s="6"/>
      <c r="I11" s="6"/>
    </row>
  </sheetData>
  <mergeCells count="2">
    <mergeCell ref="A1:I1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2026-09-06T16:35:16Z</dcterms:created>
  <dc:creator>openpyxl</dc:creator>
  <dc:description/>
  <dc:language>en-US</dc:language>
  <cp:lastModifiedBy/>
  <dcterms:modified xsi:type="dcterms:W3CDTF">2026-09-06T16:35:16Z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
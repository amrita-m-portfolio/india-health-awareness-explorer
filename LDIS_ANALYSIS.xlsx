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_Data" sheetId="1" state="visible" r:id="rId3"/>
    <sheet name="LDIS_Score" sheetId="2" state="visible" r:id="rId4"/>
    <sheet name="Sensitivity_Chec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<sst xmlns="http://schemas.openxmlformats.org/spreadsheetml/2006/main" count="63" uniqueCount="59">
  <si>
    <t xml:space="preserve">State/UT</t>
  </si>
  <si>
    <t xml:space="preserve">Glucose - Women (%)</t>
  </si>
  <si>
    <t xml:space="preserve">BP - Women (%)</t>
  </si>
  <si>
    <t xml:space="preserve">Overweight - Women (%)</t>
  </si>
  <si>
    <t xml:space="preserve">Glucose - Men (%)</t>
  </si>
  <si>
    <t xml:space="preserve">BP - Men (%)</t>
  </si>
  <si>
    <t xml:space="preserve">Overweight - Men (%)</t>
  </si>
  <si>
    <t xml:space="preserve">Andaman &amp; Nicobar Islands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</si>
  <si>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</si>
  <si>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</si>
  <si>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</si>
  <si>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</si>
  <si>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Chandigarh</t>
  </si>
  <si>
    <t xml:space="preserve">Chhattisgarh</t>
  </si>
  <si>
    <t xml:space="preserve">Dadra and Nagar Haveli &amp; Daman and Diu</t>
  </si>
  <si>
    <t xml:space="preserve">Goa</t>
  </si>
  <si>
    <t xml:space="preserve">Gujarat</t>
  </si>
  <si>
    <t xml:space="preserve">Haryana</t>
  </si>
  <si>
    <t xml:space="preserve">Himachal Pradesh</t>
  </si>
  <si>
    <t xml:space="preserve">Jammu &amp; Kashmir</t>
  </si>
  <si>
    <t xml:space="preserve">Jharkhand</t>
  </si>
  <si>
    <t xml:space="preserve">Karnataka</t>
  </si>
  <si>
    <t xml:space="preserve">Kerala</t>
  </si>
  <si>
    <t xml:space="preserve">Ladakh</t>
  </si>
  <si>
    <t xml:space="preserve">Lakshadweep</t>
  </si>
  <si>
    <t xml:space="preserve">Madhya Pradesh</t>
  </si>
  <si>
    <t xml:space="preserve">Maharastra</t>
  </si>
  <si>
    <t xml:space="preserve">Manipur</t>
  </si>
  <si>
    <t xml:space="preserve">Meghalaya</t>
  </si>
  <si>
    <t xml:space="preserve">Mizoram</t>
  </si>
  <si>
    <t xml:space="preserve">Nagaland</t>
  </si>
  <si>
    <t xml:space="preserve">NCT of Delhi</t>
  </si>
  <si>
    <t xml:space="preserve">Odisha</t>
  </si>
  <si>
    <t xml:space="preserve">Puducherry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</si>
  <si>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</si>
  <si>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</si>
  <si>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</si>
  <si>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</si>
  <si>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</si>
  <si>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</si>
  <si>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</si>
  <si>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</si>
  <si>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</si>
  <si>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LIFESTYLE DISEASE INDICATOR SCORE (LDIS) - Baseline vs Standardized - CORRECTED</t>
  </si>
  <si>
    <t xml:space="preserve">LDIS_Raw_Women (avg of 3 %)</t>
  </si>
  <si>
    <t xml:space="preserve">LDIS_Raw_Men (avg of 3 %)</t>
  </si>
  <si>
    <t xml:space="preserve">Rank_Raw_Women (1=highest)</t>
  </si>
  <si>
    <t xml:space="preserve">Rank_Raw_Men (1=highest)</t>
  </si>
  <si>
    <t xml:space="preserve">LDIS_Standardized_Women (avg of z-scores)</t>
  </si>
  <si>
    <t xml:space="preserve">LDIS_Standardized_Men (avg of z-scores)</t>
  </si>
  <si>
    <t xml:space="preserve">Rank_Std_Women (1=highest)</t>
  </si>
  <si>
    <t xml:space="preserve">Rank_Std_Men (1=highest)</t>
  </si>
  <si>
    <t xml:space="preserve">SENSITIVITY CHECK - CORRECTED</t>
  </si>
  <si>
    <t xml:space="preserve">WOMEN - States with highest lifestyle-disease indicator score</t>
  </si>
  <si>
    <t xml:space="preserve">Rank</t>
  </si>
  <si>
    <t xml:space="preserve">Top 5 - Raw LDIS</t>
  </si>
  <si>
    <t xml:space="preserve">Top 5 - Standardized LDIS</t>
  </si>
  <si>
    <t xml:space="preserve">MEN - States with highest lifestyle-disease indicator score</t>
  </si>
  <si>
    <t xml:space="preserve">Data corrected after Python validation caught mis-parsed negative values in the Overweight columns for 2 additional states. Compare the two columns - if the same states appear in both, the finding is stable regardless of scoring method.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</si>
</sst>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7" min="7" style="0" width="2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17.47</v>
      </c>
      <c r="C2" s="2" t="n">
        <v>25.29</v>
      </c>
      <c r="D2" s="2" t="n">
        <v>38.11</v>
      </c>
      <c r="E2" s="2" t="n">
        <v>17.93</v>
      </c>
      <c r="F2" s="2" t="n">
        <v>30.16</v>
      </c>
      <c r="G2" s="2" t="n">
        <v>45.3</v>
      </c>
    </row>
    <row r="3" customFormat="false" ht="15" hidden="false" customHeight="false" outlineLevel="0" collapsed="false">
      <c r="A3" s="2" t="s">
        <v>8</v>
      </c>
      <c r="B3" s="2" t="n">
        <v>19.5</v>
      </c>
      <c r="C3" s="2" t="n">
        <v>25.26</v>
      </c>
      <c r="D3" s="2" t="n">
        <v>36.25</v>
      </c>
      <c r="E3" s="2" t="n">
        <v>21.81</v>
      </c>
      <c r="F3" s="2" t="n">
        <v>29</v>
      </c>
      <c r="G3" s="2" t="n">
        <v>31.08</v>
      </c>
    </row>
    <row r="4" customFormat="false" ht="15" hidden="false" customHeight="false" outlineLevel="0" collapsed="false">
      <c r="A4" s="2" t="s">
        <v>9</v>
      </c>
      <c r="B4" s="2" t="n">
        <v>8.39</v>
      </c>
      <c r="C4" s="2" t="n">
        <v>24.88</v>
      </c>
      <c r="D4" s="2" t="n">
        <v>23.87</v>
      </c>
      <c r="E4" s="2" t="n">
        <v>11.87</v>
      </c>
      <c r="F4" s="2" t="n">
        <v>33.07</v>
      </c>
      <c r="G4" s="2" t="n">
        <v>27.57</v>
      </c>
    </row>
    <row r="5" customFormat="false" ht="15" hidden="false" customHeight="false" outlineLevel="0" collapsed="false">
      <c r="A5" s="2" t="s">
        <v>10</v>
      </c>
      <c r="B5" s="2" t="n">
        <v>12.8</v>
      </c>
      <c r="C5" s="2" t="n">
        <v>19.1</v>
      </c>
      <c r="D5" s="2" t="n">
        <v>15.16</v>
      </c>
      <c r="E5" s="2" t="n">
        <v>15.98</v>
      </c>
      <c r="F5" s="2" t="n">
        <v>20.26</v>
      </c>
      <c r="G5" s="2" t="n">
        <v>16.22</v>
      </c>
    </row>
    <row r="6" customFormat="false" ht="15" hidden="false" customHeight="false" outlineLevel="0" collapsed="false">
      <c r="A6" s="2" t="s">
        <v>11</v>
      </c>
      <c r="B6" s="2" t="n">
        <v>12.71</v>
      </c>
      <c r="C6" s="2" t="n">
        <v>15.92</v>
      </c>
      <c r="D6" s="2" t="n">
        <v>15.93</v>
      </c>
      <c r="E6" s="2" t="n">
        <v>16.24</v>
      </c>
      <c r="F6" s="2" t="n">
        <v>18.36</v>
      </c>
      <c r="G6" s="2" t="n">
        <v>14.66</v>
      </c>
    </row>
    <row r="7" customFormat="false" ht="15" hidden="false" customHeight="false" outlineLevel="0" collapsed="false">
      <c r="A7" s="2" t="s">
        <v>12</v>
      </c>
      <c r="B7" s="2" t="n">
        <v>18.95</v>
      </c>
      <c r="C7" s="2" t="n">
        <v>25.03</v>
      </c>
      <c r="D7" s="2" t="n">
        <v>44.02</v>
      </c>
      <c r="E7" s="2" t="n">
        <v>16.62</v>
      </c>
      <c r="F7" s="2" t="n">
        <v>30.62</v>
      </c>
      <c r="G7" s="2" t="n">
        <v>34.44</v>
      </c>
    </row>
    <row r="8" customFormat="false" ht="15" hidden="false" customHeight="false" outlineLevel="0" collapsed="false">
      <c r="A8" s="2" t="s">
        <v>13</v>
      </c>
      <c r="B8" s="2" t="n">
        <v>9.01</v>
      </c>
      <c r="C8" s="2" t="n">
        <v>23.58</v>
      </c>
      <c r="D8" s="2" t="n">
        <v>14.11</v>
      </c>
      <c r="E8" s="2" t="n">
        <v>10.83</v>
      </c>
      <c r="F8" s="2" t="n">
        <v>27.7</v>
      </c>
      <c r="G8" s="2" t="n">
        <v>14.94</v>
      </c>
    </row>
    <row r="9" customFormat="false" ht="15" hidden="false" customHeight="false" outlineLevel="0" collapsed="false">
      <c r="A9" s="2" t="s">
        <v>14</v>
      </c>
      <c r="B9" s="2" t="n">
        <v>13.6</v>
      </c>
      <c r="C9" s="2" t="n">
        <v>14.91</v>
      </c>
      <c r="D9" s="2" t="n">
        <v>26.84</v>
      </c>
      <c r="E9" s="2" t="n">
        <v>16.39</v>
      </c>
      <c r="F9" s="2" t="n">
        <v>15.39</v>
      </c>
      <c r="G9" s="2" t="n">
        <v>21.37</v>
      </c>
    </row>
    <row r="10" customFormat="false" ht="15" hidden="false" customHeight="false" outlineLevel="0" collapsed="false">
      <c r="A10" s="2" t="s">
        <v>15</v>
      </c>
      <c r="B10" s="2" t="n">
        <v>20.82</v>
      </c>
      <c r="C10" s="2" t="n">
        <v>27.47</v>
      </c>
      <c r="D10" s="2" t="n">
        <v>36.09</v>
      </c>
      <c r="E10" s="2" t="n">
        <v>24.13</v>
      </c>
      <c r="F10" s="2" t="n">
        <v>26.82</v>
      </c>
      <c r="G10" s="2" t="n">
        <v>32.56</v>
      </c>
    </row>
    <row r="11" customFormat="false" ht="15" hidden="false" customHeight="false" outlineLevel="0" collapsed="false">
      <c r="A11" s="2" t="s">
        <v>16</v>
      </c>
      <c r="B11" s="2" t="n">
        <v>15.84</v>
      </c>
      <c r="C11" s="2" t="n">
        <v>20.55</v>
      </c>
      <c r="D11" s="2" t="n">
        <v>22.64</v>
      </c>
      <c r="E11" s="2" t="n">
        <v>16.9</v>
      </c>
      <c r="F11" s="2" t="n">
        <v>20.31</v>
      </c>
      <c r="G11" s="2" t="n">
        <v>19.94</v>
      </c>
    </row>
    <row r="12" customFormat="false" ht="15" hidden="false" customHeight="false" outlineLevel="0" collapsed="false">
      <c r="A12" s="2" t="s">
        <v>17</v>
      </c>
      <c r="B12" s="2" t="n">
        <v>11.93</v>
      </c>
      <c r="C12" s="2" t="n">
        <v>21.01</v>
      </c>
      <c r="D12" s="2" t="n">
        <v>33.05</v>
      </c>
      <c r="E12" s="2" t="n">
        <v>13.46</v>
      </c>
      <c r="F12" s="2" t="n">
        <v>25.12</v>
      </c>
      <c r="G12" s="2" t="n">
        <v>28.32</v>
      </c>
    </row>
    <row r="13" customFormat="false" ht="15" hidden="false" customHeight="false" outlineLevel="0" collapsed="false">
      <c r="A13" s="2" t="s">
        <v>18</v>
      </c>
      <c r="B13" s="2" t="n">
        <v>13.88</v>
      </c>
      <c r="C13" s="2" t="n">
        <v>22.21</v>
      </c>
      <c r="D13" s="2" t="n">
        <v>30.43</v>
      </c>
      <c r="E13" s="2" t="n">
        <v>14.72</v>
      </c>
      <c r="F13" s="2" t="n">
        <v>24.36</v>
      </c>
      <c r="G13" s="2" t="n">
        <v>30.6</v>
      </c>
    </row>
    <row r="14" customFormat="false" ht="15" hidden="false" customHeight="false" outlineLevel="0" collapsed="false">
      <c r="A14" s="2" t="s">
        <v>19</v>
      </c>
      <c r="B14" s="2" t="n">
        <v>8.73</v>
      </c>
      <c r="C14" s="2" t="n">
        <v>19.99</v>
      </c>
      <c r="D14" s="2" t="n">
        <v>29.33</v>
      </c>
      <c r="E14" s="2" t="n">
        <v>8.02</v>
      </c>
      <c r="F14" s="2" t="n">
        <v>18.94</v>
      </c>
      <c r="G14" s="2" t="n">
        <v>31.63</v>
      </c>
    </row>
    <row r="15" customFormat="false" ht="15" hidden="false" customHeight="false" outlineLevel="0" collapsed="false">
      <c r="A15" s="2" t="s">
        <v>20</v>
      </c>
      <c r="B15" s="2" t="n">
        <v>10.19</v>
      </c>
      <c r="C15" s="2" t="n">
        <v>17.78</v>
      </c>
      <c r="D15" s="2" t="n">
        <v>11.85</v>
      </c>
      <c r="E15" s="2" t="n">
        <v>14.07</v>
      </c>
      <c r="F15" s="2" t="n">
        <v>22.6</v>
      </c>
      <c r="G15" s="2" t="n">
        <v>15.12</v>
      </c>
    </row>
    <row r="16" customFormat="false" ht="15" hidden="false" customHeight="false" outlineLevel="0" collapsed="false">
      <c r="A16" s="2" t="s">
        <v>21</v>
      </c>
      <c r="B16" s="2" t="n">
        <v>13.95</v>
      </c>
      <c r="C16" s="2" t="n">
        <v>24.97</v>
      </c>
      <c r="D16" s="2" t="n">
        <v>30.14</v>
      </c>
      <c r="E16" s="2" t="n">
        <v>15.55</v>
      </c>
      <c r="F16" s="2" t="n">
        <v>26.88</v>
      </c>
      <c r="G16" s="2" t="n">
        <v>30.85</v>
      </c>
    </row>
    <row r="17" customFormat="false" ht="15" hidden="false" customHeight="false" outlineLevel="0" collapsed="false">
      <c r="A17" s="2" t="s">
        <v>22</v>
      </c>
      <c r="B17" s="2" t="n">
        <v>24.82</v>
      </c>
      <c r="C17" s="2" t="n">
        <v>30.88</v>
      </c>
      <c r="D17" s="2" t="n">
        <v>38.12</v>
      </c>
      <c r="E17" s="2" t="n">
        <v>27.02</v>
      </c>
      <c r="F17" s="2" t="n">
        <v>32.76</v>
      </c>
      <c r="G17" s="2" t="n">
        <v>36.35</v>
      </c>
    </row>
    <row r="18" customFormat="false" ht="15" hidden="false" customHeight="false" outlineLevel="0" collapsed="false">
      <c r="A18" s="2" t="s">
        <v>23</v>
      </c>
      <c r="B18" s="2" t="n">
        <v>6.69</v>
      </c>
      <c r="C18" s="2" t="n">
        <v>15.74</v>
      </c>
      <c r="D18" s="2" t="n">
        <v>28.25</v>
      </c>
      <c r="E18" s="2" t="n">
        <v>8.27</v>
      </c>
      <c r="F18" s="2" t="n">
        <v>17.43</v>
      </c>
      <c r="G18" s="2" t="n">
        <v>37.75</v>
      </c>
    </row>
    <row r="19" customFormat="false" ht="15" hidden="false" customHeight="false" outlineLevel="0" collapsed="false">
      <c r="A19" s="2" t="s">
        <v>24</v>
      </c>
      <c r="B19" s="2" t="n">
        <v>19.54</v>
      </c>
      <c r="C19" s="2" t="n">
        <v>24.81</v>
      </c>
      <c r="D19" s="2" t="n">
        <v>33.52</v>
      </c>
      <c r="E19" s="2" t="n">
        <v>20.71</v>
      </c>
      <c r="F19" s="2" t="n">
        <v>24.74</v>
      </c>
      <c r="G19" s="2" t="n">
        <v>41.27</v>
      </c>
    </row>
    <row r="20" customFormat="false" ht="15" hidden="false" customHeight="false" outlineLevel="0" collapsed="false">
      <c r="A20" s="2" t="s">
        <v>25</v>
      </c>
      <c r="B20" s="2" t="n">
        <v>9.84</v>
      </c>
      <c r="C20" s="2" t="n">
        <v>20.56</v>
      </c>
      <c r="D20" s="2" t="n">
        <v>16.58</v>
      </c>
      <c r="E20" s="2" t="n">
        <v>12.21</v>
      </c>
      <c r="F20" s="2" t="n">
        <v>22.65</v>
      </c>
      <c r="G20" s="2" t="n">
        <v>15.57</v>
      </c>
    </row>
    <row r="21" customFormat="false" ht="15" hidden="false" customHeight="false" outlineLevel="0" collapsed="false">
      <c r="A21" s="2" t="s">
        <v>26</v>
      </c>
      <c r="B21" s="2" t="n">
        <v>12.37</v>
      </c>
      <c r="C21" s="2" t="n">
        <v>23.14</v>
      </c>
      <c r="D21" s="2" t="n">
        <v>23.43</v>
      </c>
      <c r="E21" s="2" t="n">
        <v>13.63</v>
      </c>
      <c r="F21" s="2" t="n">
        <v>24.41</v>
      </c>
      <c r="G21" s="2" t="n">
        <v>24.66</v>
      </c>
    </row>
    <row r="22" customFormat="false" ht="15" hidden="false" customHeight="false" outlineLevel="0" collapsed="false">
      <c r="A22" s="2" t="s">
        <v>27</v>
      </c>
      <c r="B22" s="2" t="n">
        <v>13.6</v>
      </c>
      <c r="C22" s="2" t="n">
        <v>23.01</v>
      </c>
      <c r="D22" s="2" t="n">
        <v>34.06</v>
      </c>
      <c r="E22" s="2" t="n">
        <v>16.47</v>
      </c>
      <c r="F22" s="2" t="n">
        <v>33.19</v>
      </c>
      <c r="G22" s="2" t="n">
        <v>30.25</v>
      </c>
    </row>
    <row r="23" customFormat="false" ht="15" hidden="false" customHeight="false" outlineLevel="0" collapsed="false">
      <c r="A23" s="2" t="s">
        <v>28</v>
      </c>
      <c r="B23" s="2" t="n">
        <v>9.48</v>
      </c>
      <c r="C23" s="2" t="n">
        <v>18.72</v>
      </c>
      <c r="D23" s="2" t="n">
        <v>11.48</v>
      </c>
      <c r="E23" s="2" t="n">
        <v>13.85</v>
      </c>
      <c r="F23" s="2" t="n">
        <v>21.41</v>
      </c>
      <c r="G23" s="2" t="n">
        <v>13.87</v>
      </c>
    </row>
    <row r="24" customFormat="false" ht="15" hidden="false" customHeight="false" outlineLevel="0" collapsed="false">
      <c r="A24" s="2" t="s">
        <v>29</v>
      </c>
      <c r="B24" s="2" t="n">
        <v>13.8</v>
      </c>
      <c r="C24" s="2" t="n">
        <v>17.69</v>
      </c>
      <c r="D24" s="2" t="n">
        <v>24.22</v>
      </c>
      <c r="E24" s="2" t="n">
        <v>15.44</v>
      </c>
      <c r="F24" s="2" t="n">
        <v>25.2</v>
      </c>
      <c r="G24" s="2" t="n">
        <v>31.88</v>
      </c>
    </row>
    <row r="25" customFormat="false" ht="15" hidden="false" customHeight="false" outlineLevel="0" collapsed="false">
      <c r="A25" s="2" t="s">
        <v>30</v>
      </c>
      <c r="B25" s="2" t="n">
        <v>9.26</v>
      </c>
      <c r="C25" s="2" t="n">
        <v>22.36</v>
      </c>
      <c r="D25" s="2" t="n">
        <v>14.44</v>
      </c>
      <c r="E25" s="2" t="n">
        <v>12.43</v>
      </c>
      <c r="F25" s="2" t="n">
        <v>28.7</v>
      </c>
      <c r="G25" s="2" t="n">
        <v>23.92</v>
      </c>
    </row>
    <row r="26" customFormat="false" ht="15" hidden="false" customHeight="false" outlineLevel="0" collapsed="false">
      <c r="A26" s="2" t="s">
        <v>31</v>
      </c>
      <c r="B26" s="2" t="n">
        <v>12.24</v>
      </c>
      <c r="C26" s="2" t="n">
        <v>24.13</v>
      </c>
      <c r="D26" s="2" t="n">
        <v>41.32</v>
      </c>
      <c r="E26" s="2" t="n">
        <v>14.05</v>
      </c>
      <c r="F26" s="2" t="n">
        <v>32.75</v>
      </c>
      <c r="G26" s="2" t="n">
        <v>37.99</v>
      </c>
    </row>
    <row r="27" customFormat="false" ht="15" hidden="false" customHeight="false" outlineLevel="0" collapsed="false">
      <c r="A27" s="2" t="s">
        <v>32</v>
      </c>
      <c r="B27" s="2" t="n">
        <v>13.97</v>
      </c>
      <c r="C27" s="2" t="n">
        <v>22.37</v>
      </c>
      <c r="D27" s="2" t="n">
        <v>22.97</v>
      </c>
      <c r="E27" s="2" t="n">
        <v>17.03</v>
      </c>
      <c r="F27" s="2" t="n">
        <v>25.61</v>
      </c>
      <c r="G27" s="2" t="n">
        <v>22.21</v>
      </c>
    </row>
    <row r="28" customFormat="false" ht="15" hidden="false" customHeight="false" outlineLevel="0" collapsed="false">
      <c r="A28" s="2" t="s">
        <v>33</v>
      </c>
      <c r="B28" s="2" t="n">
        <v>20.14</v>
      </c>
      <c r="C28" s="2" t="n">
        <v>22.99</v>
      </c>
      <c r="D28" s="2" t="n">
        <v>46.2</v>
      </c>
      <c r="E28" s="2" t="n">
        <v>21.73</v>
      </c>
      <c r="F28" s="2" t="n">
        <v>30.11</v>
      </c>
      <c r="G28" s="2" t="n">
        <v>43.29</v>
      </c>
    </row>
    <row r="29" customFormat="false" ht="15" hidden="false" customHeight="false" outlineLevel="0" collapsed="false">
      <c r="A29" s="2" t="s">
        <v>34</v>
      </c>
      <c r="B29" s="2" t="n">
        <v>14.74</v>
      </c>
      <c r="C29" s="2" t="n">
        <v>31.19</v>
      </c>
      <c r="D29" s="2" t="n">
        <v>40.81</v>
      </c>
      <c r="E29" s="2" t="n">
        <v>14.07</v>
      </c>
      <c r="F29" s="2" t="n">
        <v>37.73</v>
      </c>
      <c r="G29" s="2" t="n">
        <v>32.24</v>
      </c>
    </row>
    <row r="30" customFormat="false" ht="15" hidden="false" customHeight="false" outlineLevel="0" collapsed="false">
      <c r="A30" s="2" t="s">
        <v>35</v>
      </c>
      <c r="B30" s="2" t="n">
        <v>7.23</v>
      </c>
      <c r="C30" s="2" t="n">
        <v>15.35</v>
      </c>
      <c r="D30" s="2" t="n">
        <v>12.9</v>
      </c>
      <c r="E30" s="2" t="n">
        <v>8.94</v>
      </c>
      <c r="F30" s="2" t="n">
        <v>17.88</v>
      </c>
      <c r="G30" s="2" t="n">
        <v>14.97</v>
      </c>
    </row>
    <row r="31" customFormat="false" ht="15" hidden="false" customHeight="false" outlineLevel="0" collapsed="false">
      <c r="A31" s="2" t="s">
        <v>36</v>
      </c>
      <c r="B31" s="2" t="n">
        <v>12.2</v>
      </c>
      <c r="C31" s="2" t="n">
        <v>34.53</v>
      </c>
      <c r="D31" s="2" t="n">
        <v>34.71</v>
      </c>
      <c r="E31" s="2" t="n">
        <v>15.7</v>
      </c>
      <c r="F31" s="2" t="n">
        <v>41.58</v>
      </c>
      <c r="G31" s="2" t="n">
        <v>36.32</v>
      </c>
    </row>
    <row r="32" customFormat="false" ht="15" hidden="false" customHeight="false" outlineLevel="0" collapsed="false">
      <c r="A32" s="2" t="s">
        <v>37</v>
      </c>
      <c r="B32" s="2" t="n">
        <v>20.65</v>
      </c>
      <c r="C32" s="2" t="n">
        <v>24.79</v>
      </c>
      <c r="D32" s="2" t="n">
        <v>40.44</v>
      </c>
      <c r="E32" s="2" t="n">
        <v>22.06</v>
      </c>
      <c r="F32" s="2" t="n">
        <v>30.15</v>
      </c>
      <c r="G32" s="2" t="n">
        <v>37.02</v>
      </c>
    </row>
    <row r="33" customFormat="false" ht="15" hidden="false" customHeight="false" outlineLevel="0" collapsed="false">
      <c r="A33" s="2" t="s">
        <v>38</v>
      </c>
      <c r="B33" s="2" t="n">
        <v>14.74</v>
      </c>
      <c r="C33" s="2" t="n">
        <v>26.09</v>
      </c>
      <c r="D33" s="2" t="n">
        <v>30.09</v>
      </c>
      <c r="E33" s="2" t="n">
        <v>18.11</v>
      </c>
      <c r="F33" s="2" t="n">
        <v>31.39</v>
      </c>
      <c r="G33" s="2" t="n">
        <v>32.33</v>
      </c>
    </row>
    <row r="34" customFormat="false" ht="15" hidden="false" customHeight="false" outlineLevel="0" collapsed="false">
      <c r="A34" s="2" t="s">
        <v>39</v>
      </c>
      <c r="B34" s="2" t="n">
        <v>17.7</v>
      </c>
      <c r="C34" s="2" t="n">
        <v>20.87</v>
      </c>
      <c r="D34" s="2" t="n">
        <v>21.54</v>
      </c>
      <c r="E34" s="2" t="n">
        <v>19.33</v>
      </c>
      <c r="F34" s="2" t="n">
        <v>22.67</v>
      </c>
      <c r="G34" s="2" t="n">
        <v>23.43</v>
      </c>
    </row>
    <row r="35" customFormat="false" ht="15" hidden="false" customHeight="false" outlineLevel="0" collapsed="false">
      <c r="A35" s="2" t="s">
        <v>40</v>
      </c>
      <c r="B35" s="2" t="n">
        <v>9.97</v>
      </c>
      <c r="C35" s="2" t="n">
        <v>18.35</v>
      </c>
      <c r="D35" s="2" t="n">
        <v>21.34</v>
      </c>
      <c r="E35" s="2" t="n">
        <v>11.56</v>
      </c>
      <c r="F35" s="2" t="n">
        <v>21.7</v>
      </c>
      <c r="G35" s="2" t="n">
        <v>18.5</v>
      </c>
    </row>
    <row r="36" customFormat="false" ht="15" hidden="false" customHeight="false" outlineLevel="0" collapsed="false">
      <c r="A36" s="2" t="s">
        <v>41</v>
      </c>
      <c r="B36" s="2" t="n">
        <v>10.84</v>
      </c>
      <c r="C36" s="2" t="n">
        <v>22.94</v>
      </c>
      <c r="D36" s="2" t="n">
        <v>29.73</v>
      </c>
      <c r="E36" s="2" t="n">
        <v>14.25</v>
      </c>
      <c r="F36" s="2" t="n">
        <v>31.8</v>
      </c>
      <c r="G36" s="2" t="n">
        <v>27.07</v>
      </c>
    </row>
    <row r="37" customFormat="false" ht="15" hidden="false" customHeight="false" outlineLevel="0" collapsed="false">
      <c r="A37" s="2" t="s">
        <v>42</v>
      </c>
      <c r="B37" s="2" t="n">
        <v>17.49</v>
      </c>
      <c r="C37" s="2" t="n">
        <v>20.46</v>
      </c>
      <c r="D37" s="2" t="n">
        <v>22.73</v>
      </c>
      <c r="E37" s="2" t="n">
        <v>21.31</v>
      </c>
      <c r="F37" s="2" t="n">
        <v>20.12</v>
      </c>
      <c r="G37" s="2" t="n">
        <v>16.19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5" min="4" style="0" width="18"/>
    <col collapsed="false" customWidth="true" hidden="false" outlineLevel="0" max="7" min="6" style="0" width="24"/>
    <col collapsed="false" customWidth="true" hidden="false" outlineLevel="0" max="9" min="8" style="0" width="18"/>
  </cols>
  <sheetData>
    <row r="1" customFormat="false" ht="24" hidden="false" customHeight="true" outlineLevel="0" collapsed="false">
      <c r="A1" s="3" t="s">
        <v>43</v>
      </c>
      <c r="B1" s="3"/>
      <c r="C1" s="3"/>
      <c r="D1" s="3"/>
      <c r="E1" s="3"/>
      <c r="F1" s="3"/>
      <c r="G1" s="3"/>
      <c r="H1" s="3"/>
      <c r="I1" s="3"/>
      <c r="J1" s="3"/>
    </row>
    <row r="3" customFormat="false" ht="26.85" hidden="false" customHeight="false" outlineLevel="0" collapsed="false">
      <c r="A3" s="4" t="s">
        <v>0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  <c r="I3" s="4" t="s">
        <v>51</v>
      </c>
    </row>
    <row r="4" customFormat="false" ht="15" hidden="false" customHeight="false" outlineLevel="0" collapsed="false">
      <c r="A4" s="2" t="str">
        <f aca="false">State_Data!A2</f>
        <v>Andaman &amp; Nicobar Islands</v>
      </c>
      <c r="B4" s="5" t="n">
        <f aca="false">AVERAGE(State_Data!B2,State_Data!C2,State_Data!D2)</f>
        <v>26.9566666666667</v>
      </c>
      <c r="C4" s="5" t="n">
        <f aca="false">AVERAGE(State_Data!E2,State_Data!F2,State_Data!G2)</f>
        <v>31.13</v>
      </c>
      <c r="D4" s="2" t="n">
        <f aca="false">RANK(B4,$B$4:$B$39)</f>
        <v>9</v>
      </c>
      <c r="E4" s="2" t="n">
        <f aca="false">RANK(C4,$C$4:$C$39)</f>
        <v>4</v>
      </c>
      <c r="F4" s="5" t="n">
        <f aca="false">AVERAGE((State_Data!B2-AVERAGE(State_Data!$B$2:$B$37))/STDEV(State_Data!$B$2:$B$37),(State_Data!C2-AVERAGE(State_Data!$C$2:$C$37))/STDEV(State_Data!$C$2:$C$37),(State_Data!D2-AVERAGE(State_Data!$D$2:$D$37))/STDEV(State_Data!$D$2:$D$37))</f>
        <v>0.840004694439017</v>
      </c>
      <c r="G4" s="5" t="n">
        <f aca="false">AVERAGE((State_Data!E2-AVERAGE(State_Data!$E$2:$E$37))/STDEV(State_Data!$E$2:$E$37),(State_Data!F2-AVERAGE(State_Data!$F$2:$F$37))/STDEV(State_Data!$F$2:$F$37),(State_Data!G2-AVERAGE(State_Data!$G$2:$G$37))/STDEV(State_Data!$G$2:$G$37))</f>
        <v>1.02699947047706</v>
      </c>
      <c r="H4" s="2" t="n">
        <f aca="false">RANK(F4,$F$4:$F$39)</f>
        <v>9</v>
      </c>
      <c r="I4" s="2" t="n">
        <f aca="false">RANK(G4,$G$4:$G$39)</f>
        <v>5</v>
      </c>
    </row>
    <row r="5" customFormat="false" ht="15" hidden="false" customHeight="false" outlineLevel="0" collapsed="false">
      <c r="A5" s="2" t="str">
        <f aca="false">State_Data!A3</f>
        <v>Andhra Pradesh</v>
      </c>
      <c r="B5" s="5" t="n">
        <f aca="false">AVERAGE(State_Data!B3,State_Data!C3,State_Data!D3)</f>
        <v>27.0033333333333</v>
      </c>
      <c r="C5" s="5" t="n">
        <f aca="false">AVERAGE(State_Data!E3,State_Data!F3,State_Data!G3)</f>
        <v>27.2966666666667</v>
      </c>
      <c r="D5" s="2" t="n">
        <f aca="false">RANK(B5,$B$4:$B$39)</f>
        <v>8</v>
      </c>
      <c r="E5" s="2" t="n">
        <f aca="false">RANK(C5,$C$4:$C$39)</f>
        <v>10</v>
      </c>
      <c r="F5" s="5" t="n">
        <f aca="false">AVERAGE((State_Data!B3-AVERAGE(State_Data!$B$2:$B$37))/STDEV(State_Data!$B$2:$B$37),(State_Data!C3-AVERAGE(State_Data!$C$2:$C$37))/STDEV(State_Data!$C$2:$C$37),(State_Data!D3-AVERAGE(State_Data!$D$2:$D$37))/STDEV(State_Data!$D$2:$D$37))</f>
        <v>0.928850434998311</v>
      </c>
      <c r="G5" s="5" t="n">
        <f aca="false">AVERAGE((State_Data!E3-AVERAGE(State_Data!$E$2:$E$37))/STDEV(State_Data!$E$2:$E$37),(State_Data!F3-AVERAGE(State_Data!$F$2:$F$37))/STDEV(State_Data!$F$2:$F$37),(State_Data!G3-AVERAGE(State_Data!$G$2:$G$37))/STDEV(State_Data!$G$2:$G$37))</f>
        <v>0.737432642606758</v>
      </c>
      <c r="H5" s="2" t="n">
        <f aca="false">RANK(F5,$F$4:$F$39)</f>
        <v>8</v>
      </c>
      <c r="I5" s="2" t="n">
        <f aca="false">RANK(G5,$G$4:$G$39)</f>
        <v>8</v>
      </c>
    </row>
    <row r="6" customFormat="false" ht="15" hidden="false" customHeight="false" outlineLevel="0" collapsed="false">
      <c r="A6" s="2" t="str">
        <f aca="false">State_Data!A4</f>
        <v>Arunachal Pradesh</v>
      </c>
      <c r="B6" s="5" t="n">
        <f aca="false">AVERAGE(State_Data!B4,State_Data!C4,State_Data!D4)</f>
        <v>19.0466666666667</v>
      </c>
      <c r="C6" s="5" t="n">
        <f aca="false">AVERAGE(State_Data!E4,State_Data!F4,State_Data!G4)</f>
        <v>24.17</v>
      </c>
      <c r="D6" s="2" t="n">
        <f aca="false">RANK(B6,$B$4:$B$39)</f>
        <v>24</v>
      </c>
      <c r="E6" s="2" t="n">
        <f aca="false">RANK(C6,$C$4:$C$39)</f>
        <v>17</v>
      </c>
      <c r="F6" s="5" t="n">
        <f aca="false">AVERAGE((State_Data!B4-AVERAGE(State_Data!$B$2:$B$37))/STDEV(State_Data!$B$2:$B$37),(State_Data!C4-AVERAGE(State_Data!$C$2:$C$37))/STDEV(State_Data!$C$2:$C$37),(State_Data!D4-AVERAGE(State_Data!$D$2:$D$37))/STDEV(State_Data!$D$2:$D$37))</f>
        <v>-0.363902614302799</v>
      </c>
      <c r="G6" s="5" t="n">
        <f aca="false">AVERAGE((State_Data!E4-AVERAGE(State_Data!$E$2:$E$37))/STDEV(State_Data!$E$2:$E$37),(State_Data!F4-AVERAGE(State_Data!$F$2:$F$37))/STDEV(State_Data!$F$2:$F$37),(State_Data!G4-AVERAGE(State_Data!$G$2:$G$37))/STDEV(State_Data!$G$2:$G$37))</f>
        <v>0.0705446087805579</v>
      </c>
      <c r="H6" s="2" t="n">
        <f aca="false">RANK(F6,$F$4:$F$39)</f>
        <v>23</v>
      </c>
      <c r="I6" s="2" t="n">
        <f aca="false">RANK(G6,$G$4:$G$39)</f>
        <v>16</v>
      </c>
    </row>
    <row r="7" customFormat="false" ht="15" hidden="false" customHeight="false" outlineLevel="0" collapsed="false">
      <c r="A7" s="2" t="str">
        <f aca="false">State_Data!A5</f>
        <v>Assam</v>
      </c>
      <c r="B7" s="5" t="n">
        <f aca="false">AVERAGE(State_Data!B5,State_Data!C5,State_Data!D5)</f>
        <v>15.6866666666667</v>
      </c>
      <c r="C7" s="5" t="n">
        <f aca="false">AVERAGE(State_Data!E5,State_Data!F5,State_Data!G5)</f>
        <v>17.4866666666667</v>
      </c>
      <c r="D7" s="2" t="n">
        <f aca="false">RANK(B7,$B$4:$B$39)</f>
        <v>29</v>
      </c>
      <c r="E7" s="2" t="n">
        <f aca="false">RANK(C7,$C$4:$C$39)</f>
        <v>30</v>
      </c>
      <c r="F7" s="5" t="n">
        <f aca="false">AVERAGE((State_Data!B5-AVERAGE(State_Data!$B$2:$B$37))/STDEV(State_Data!$B$2:$B$37),(State_Data!C5-AVERAGE(State_Data!$C$2:$C$37))/STDEV(State_Data!$C$2:$C$37),(State_Data!D5-AVERAGE(State_Data!$D$2:$D$37))/STDEV(State_Data!$D$2:$D$37))</f>
        <v>-0.759522625406905</v>
      </c>
      <c r="G7" s="5" t="n">
        <f aca="false">AVERAGE((State_Data!E5-AVERAGE(State_Data!$E$2:$E$37))/STDEV(State_Data!$E$2:$E$37),(State_Data!F5-AVERAGE(State_Data!$F$2:$F$37))/STDEV(State_Data!$F$2:$F$37),(State_Data!G5-AVERAGE(State_Data!$G$2:$G$37))/STDEV(State_Data!$G$2:$G$37))</f>
        <v>-0.740535353558357</v>
      </c>
      <c r="H7" s="2" t="n">
        <f aca="false">RANK(F7,$F$4:$F$39)</f>
        <v>28</v>
      </c>
      <c r="I7" s="2" t="n">
        <f aca="false">RANK(G7,$G$4:$G$39)</f>
        <v>27</v>
      </c>
    </row>
    <row r="8" customFormat="false" ht="15" hidden="false" customHeight="false" outlineLevel="0" collapsed="false">
      <c r="A8" s="2" t="str">
        <f aca="false">State_Data!A6</f>
        <v>Bihar</v>
      </c>
      <c r="B8" s="5" t="n">
        <f aca="false">AVERAGE(State_Data!B6,State_Data!C6,State_Data!D6)</f>
        <v>14.8533333333333</v>
      </c>
      <c r="C8" s="5" t="n">
        <f aca="false">AVERAGE(State_Data!E6,State_Data!F6,State_Data!G6)</f>
        <v>16.42</v>
      </c>
      <c r="D8" s="2" t="n">
        <f aca="false">RANK(B8,$B$4:$B$39)</f>
        <v>33</v>
      </c>
      <c r="E8" s="2" t="n">
        <f aca="false">RANK(C8,$C$4:$C$39)</f>
        <v>34</v>
      </c>
      <c r="F8" s="5" t="n">
        <f aca="false">AVERAGE((State_Data!B6-AVERAGE(State_Data!$B$2:$B$37))/STDEV(State_Data!$B$2:$B$37),(State_Data!C6-AVERAGE(State_Data!$C$2:$C$37))/STDEV(State_Data!$C$2:$C$37),(State_Data!D6-AVERAGE(State_Data!$D$2:$D$37))/STDEV(State_Data!$D$2:$D$37))</f>
        <v>-0.97960294634832</v>
      </c>
      <c r="G8" s="5" t="n">
        <f aca="false">AVERAGE((State_Data!E6-AVERAGE(State_Data!$E$2:$E$37))/STDEV(State_Data!$E$2:$E$37),(State_Data!F6-AVERAGE(State_Data!$F$2:$F$37))/STDEV(State_Data!$F$2:$F$37),(State_Data!G6-AVERAGE(State_Data!$G$2:$G$37))/STDEV(State_Data!$G$2:$G$37))</f>
        <v>-0.88312945967836</v>
      </c>
      <c r="H8" s="2" t="n">
        <f aca="false">RANK(F8,$F$4:$F$39)</f>
        <v>32</v>
      </c>
      <c r="I8" s="2" t="n">
        <f aca="false">RANK(G8,$G$4:$G$39)</f>
        <v>32</v>
      </c>
    </row>
    <row r="9" customFormat="false" ht="15" hidden="false" customHeight="false" outlineLevel="0" collapsed="false">
      <c r="A9" s="2" t="str">
        <f aca="false">State_Data!A7</f>
        <v>Chandigarh</v>
      </c>
      <c r="B9" s="5" t="n">
        <f aca="false">AVERAGE(State_Data!B7,State_Data!C7,State_Data!D7)</f>
        <v>29.3333333333333</v>
      </c>
      <c r="C9" s="5" t="n">
        <f aca="false">AVERAGE(State_Data!E7,State_Data!F7,State_Data!G7)</f>
        <v>27.2266666666667</v>
      </c>
      <c r="D9" s="2" t="n">
        <f aca="false">RANK(B9,$B$4:$B$39)</f>
        <v>3</v>
      </c>
      <c r="E9" s="2" t="n">
        <f aca="false">RANK(C9,$C$4:$C$39)</f>
        <v>12</v>
      </c>
      <c r="F9" s="5" t="n">
        <f aca="false">AVERAGE((State_Data!B7-AVERAGE(State_Data!$B$2:$B$37))/STDEV(State_Data!$B$2:$B$37),(State_Data!C7-AVERAGE(State_Data!$C$2:$C$37))/STDEV(State_Data!$C$2:$C$37),(State_Data!D7-AVERAGE(State_Data!$D$2:$D$37))/STDEV(State_Data!$D$2:$D$37))</f>
        <v>1.13342290973336</v>
      </c>
      <c r="G9" s="5" t="n">
        <f aca="false">AVERAGE((State_Data!E7-AVERAGE(State_Data!$E$2:$E$37))/STDEV(State_Data!$E$2:$E$37),(State_Data!F7-AVERAGE(State_Data!$F$2:$F$37))/STDEV(State_Data!$F$2:$F$37),(State_Data!G7-AVERAGE(State_Data!$G$2:$G$37))/STDEV(State_Data!$G$2:$G$37))</f>
        <v>0.552329735267009</v>
      </c>
      <c r="H9" s="2" t="n">
        <f aca="false">RANK(F9,$F$4:$F$39)</f>
        <v>5</v>
      </c>
      <c r="I9" s="2" t="n">
        <f aca="false">RANK(G9,$G$4:$G$39)</f>
        <v>12</v>
      </c>
    </row>
    <row r="10" customFormat="false" ht="15" hidden="false" customHeight="false" outlineLevel="0" collapsed="false">
      <c r="A10" s="2" t="str">
        <f aca="false">State_Data!A8</f>
        <v>Chhattisgarh</v>
      </c>
      <c r="B10" s="5" t="n">
        <f aca="false">AVERAGE(State_Data!B8,State_Data!C8,State_Data!D8)</f>
        <v>15.5666666666667</v>
      </c>
      <c r="C10" s="5" t="n">
        <f aca="false">AVERAGE(State_Data!E8,State_Data!F8,State_Data!G8)</f>
        <v>17.8233333333333</v>
      </c>
      <c r="D10" s="2" t="n">
        <f aca="false">RANK(B10,$B$4:$B$39)</f>
        <v>31</v>
      </c>
      <c r="E10" s="2" t="n">
        <f aca="false">RANK(C10,$C$4:$C$39)</f>
        <v>28</v>
      </c>
      <c r="F10" s="5" t="n">
        <f aca="false">AVERAGE((State_Data!B8-AVERAGE(State_Data!$B$2:$B$37))/STDEV(State_Data!$B$2:$B$37),(State_Data!C8-AVERAGE(State_Data!$C$2:$C$37))/STDEV(State_Data!$C$2:$C$37),(State_Data!D8-AVERAGE(State_Data!$D$2:$D$37))/STDEV(State_Data!$D$2:$D$37))</f>
        <v>-0.745856139201457</v>
      </c>
      <c r="G10" s="5" t="n">
        <f aca="false">AVERAGE((State_Data!E8-AVERAGE(State_Data!$E$2:$E$37))/STDEV(State_Data!$E$2:$E$37),(State_Data!F8-AVERAGE(State_Data!$F$2:$F$37))/STDEV(State_Data!$F$2:$F$37),(State_Data!G8-AVERAGE(State_Data!$G$2:$G$37))/STDEV(State_Data!$G$2:$G$37))</f>
        <v>-0.771182241228689</v>
      </c>
      <c r="H10" s="2" t="n">
        <f aca="false">RANK(F10,$F$4:$F$39)</f>
        <v>27</v>
      </c>
      <c r="I10" s="2" t="n">
        <f aca="false">RANK(G10,$G$4:$G$39)</f>
        <v>28</v>
      </c>
    </row>
    <row r="11" customFormat="false" ht="15" hidden="false" customHeight="false" outlineLevel="0" collapsed="false">
      <c r="A11" s="2" t="str">
        <f aca="false">State_Data!A9</f>
        <v>Dadra and Nagar Haveli &amp; Daman and Diu</v>
      </c>
      <c r="B11" s="5" t="n">
        <f aca="false">AVERAGE(State_Data!B9,State_Data!C9,State_Data!D9)</f>
        <v>18.45</v>
      </c>
      <c r="C11" s="5" t="n">
        <f aca="false">AVERAGE(State_Data!E9,State_Data!F9,State_Data!G9)</f>
        <v>17.7166666666667</v>
      </c>
      <c r="D11" s="2" t="n">
        <f aca="false">RANK(B11,$B$4:$B$39)</f>
        <v>26</v>
      </c>
      <c r="E11" s="2" t="n">
        <f aca="false">RANK(C11,$C$4:$C$39)</f>
        <v>29</v>
      </c>
      <c r="F11" s="5" t="n">
        <f aca="false">AVERAGE((State_Data!B9-AVERAGE(State_Data!$B$2:$B$37))/STDEV(State_Data!$B$2:$B$37),(State_Data!C9-AVERAGE(State_Data!$C$2:$C$37))/STDEV(State_Data!$C$2:$C$37),(State_Data!D9-AVERAGE(State_Data!$D$2:$D$37))/STDEV(State_Data!$D$2:$D$37))</f>
        <v>-0.617791875037091</v>
      </c>
      <c r="G11" s="5" t="n">
        <f aca="false">AVERAGE((State_Data!E9-AVERAGE(State_Data!$E$2:$E$37))/STDEV(State_Data!$E$2:$E$37),(State_Data!F9-AVERAGE(State_Data!$F$2:$F$37))/STDEV(State_Data!$F$2:$F$37),(State_Data!G9-AVERAGE(State_Data!$G$2:$G$37))/STDEV(State_Data!$G$2:$G$37))</f>
        <v>-0.789107497826332</v>
      </c>
      <c r="H11" s="2" t="n">
        <f aca="false">RANK(F11,$F$4:$F$39)</f>
        <v>26</v>
      </c>
      <c r="I11" s="2" t="n">
        <f aca="false">RANK(G11,$G$4:$G$39)</f>
        <v>29</v>
      </c>
    </row>
    <row r="12" customFormat="false" ht="15" hidden="false" customHeight="false" outlineLevel="0" collapsed="false">
      <c r="A12" s="2" t="str">
        <f aca="false">State_Data!A10</f>
        <v>Goa</v>
      </c>
      <c r="B12" s="5" t="n">
        <f aca="false">AVERAGE(State_Data!B10,State_Data!C10,State_Data!D10)</f>
        <v>28.1266666666667</v>
      </c>
      <c r="C12" s="5" t="n">
        <f aca="false">AVERAGE(State_Data!E10,State_Data!F10,State_Data!G10)</f>
        <v>27.8366666666667</v>
      </c>
      <c r="D12" s="2" t="n">
        <f aca="false">RANK(B12,$B$4:$B$39)</f>
        <v>6</v>
      </c>
      <c r="E12" s="2" t="n">
        <f aca="false">RANK(C12,$C$4:$C$39)</f>
        <v>9</v>
      </c>
      <c r="F12" s="5" t="n">
        <f aca="false">AVERAGE((State_Data!B10-AVERAGE(State_Data!$B$2:$B$37))/STDEV(State_Data!$B$2:$B$37),(State_Data!C10-AVERAGE(State_Data!$C$2:$C$37))/STDEV(State_Data!$C$2:$C$37),(State_Data!D10-AVERAGE(State_Data!$D$2:$D$37))/STDEV(State_Data!$D$2:$D$37))</f>
        <v>1.19005937147284</v>
      </c>
      <c r="G12" s="5" t="n">
        <f aca="false">AVERAGE((State_Data!E10-AVERAGE(State_Data!$E$2:$E$37))/STDEV(State_Data!$E$2:$E$37),(State_Data!F10-AVERAGE(State_Data!$F$2:$F$37))/STDEV(State_Data!$F$2:$F$37),(State_Data!G10-AVERAGE(State_Data!$G$2:$G$37))/STDEV(State_Data!$G$2:$G$37))</f>
        <v>0.849318974517447</v>
      </c>
      <c r="H12" s="2" t="n">
        <f aca="false">RANK(F12,$F$4:$F$39)</f>
        <v>2</v>
      </c>
      <c r="I12" s="2" t="n">
        <f aca="false">RANK(G12,$G$4:$G$39)</f>
        <v>6</v>
      </c>
    </row>
    <row r="13" customFormat="false" ht="15" hidden="false" customHeight="false" outlineLevel="0" collapsed="false">
      <c r="A13" s="2" t="str">
        <f aca="false">State_Data!A11</f>
        <v>Gujarat</v>
      </c>
      <c r="B13" s="5" t="n">
        <f aca="false">AVERAGE(State_Data!B11,State_Data!C11,State_Data!D11)</f>
        <v>19.6766666666667</v>
      </c>
      <c r="C13" s="5" t="n">
        <f aca="false">AVERAGE(State_Data!E11,State_Data!F11,State_Data!G11)</f>
        <v>19.05</v>
      </c>
      <c r="D13" s="2" t="n">
        <f aca="false">RANK(B13,$B$4:$B$39)</f>
        <v>21</v>
      </c>
      <c r="E13" s="2" t="n">
        <f aca="false">RANK(C13,$C$4:$C$39)</f>
        <v>27</v>
      </c>
      <c r="F13" s="5" t="n">
        <f aca="false">AVERAGE((State_Data!B11-AVERAGE(State_Data!$B$2:$B$37))/STDEV(State_Data!$B$2:$B$37),(State_Data!C11-AVERAGE(State_Data!$C$2:$C$37))/STDEV(State_Data!$C$2:$C$37),(State_Data!D11-AVERAGE(State_Data!$D$2:$D$37))/STDEV(State_Data!$D$2:$D$37))</f>
        <v>-0.165593104338656</v>
      </c>
      <c r="G13" s="5" t="n">
        <f aca="false">AVERAGE((State_Data!E11-AVERAGE(State_Data!$E$2:$E$37))/STDEV(State_Data!$E$2:$E$37),(State_Data!F11-AVERAGE(State_Data!$F$2:$F$37))/STDEV(State_Data!$F$2:$F$37),(State_Data!G11-AVERAGE(State_Data!$G$2:$G$37))/STDEV(State_Data!$G$2:$G$37))</f>
        <v>-0.530278630179477</v>
      </c>
      <c r="H13" s="2" t="n">
        <f aca="false">RANK(F13,$F$4:$F$39)</f>
        <v>21</v>
      </c>
      <c r="I13" s="2" t="n">
        <f aca="false">RANK(G13,$G$4:$G$39)</f>
        <v>25</v>
      </c>
    </row>
    <row r="14" customFormat="false" ht="15" hidden="false" customHeight="false" outlineLevel="0" collapsed="false">
      <c r="A14" s="2" t="str">
        <f aca="false">State_Data!A12</f>
        <v>Haryana</v>
      </c>
      <c r="B14" s="5" t="n">
        <f aca="false">AVERAGE(State_Data!B12,State_Data!C12,State_Data!D12)</f>
        <v>21.9966666666667</v>
      </c>
      <c r="C14" s="5" t="n">
        <f aca="false">AVERAGE(State_Data!E12,State_Data!F12,State_Data!G12)</f>
        <v>22.3</v>
      </c>
      <c r="D14" s="2" t="n">
        <f aca="false">RANK(B14,$B$4:$B$39)</f>
        <v>16</v>
      </c>
      <c r="E14" s="2" t="n">
        <f aca="false">RANK(C14,$C$4:$C$39)</f>
        <v>19</v>
      </c>
      <c r="F14" s="5" t="n">
        <f aca="false">AVERAGE((State_Data!B12-AVERAGE(State_Data!$B$2:$B$37))/STDEV(State_Data!$B$2:$B$37),(State_Data!C12-AVERAGE(State_Data!$C$2:$C$37))/STDEV(State_Data!$C$2:$C$37),(State_Data!D12-AVERAGE(State_Data!$D$2:$D$37))/STDEV(State_Data!$D$2:$D$37))</f>
        <v>-0.0747584294754935</v>
      </c>
      <c r="G14" s="5" t="n">
        <f aca="false">AVERAGE((State_Data!E12-AVERAGE(State_Data!$E$2:$E$37))/STDEV(State_Data!$E$2:$E$37),(State_Data!F12-AVERAGE(State_Data!$F$2:$F$37))/STDEV(State_Data!$F$2:$F$37),(State_Data!G12-AVERAGE(State_Data!$G$2:$G$37))/STDEV(State_Data!$G$2:$G$37))</f>
        <v>-0.219800991930836</v>
      </c>
      <c r="H14" s="2" t="n">
        <f aca="false">RANK(F14,$F$4:$F$39)</f>
        <v>18</v>
      </c>
      <c r="I14" s="2" t="n">
        <f aca="false">RANK(G14,$G$4:$G$39)</f>
        <v>21</v>
      </c>
    </row>
    <row r="15" customFormat="false" ht="15" hidden="false" customHeight="false" outlineLevel="0" collapsed="false">
      <c r="A15" s="2" t="str">
        <f aca="false">State_Data!A13</f>
        <v>Himachal Pradesh</v>
      </c>
      <c r="B15" s="5" t="n">
        <f aca="false">AVERAGE(State_Data!B13,State_Data!C13,State_Data!D13)</f>
        <v>22.1733333333333</v>
      </c>
      <c r="C15" s="5" t="n">
        <f aca="false">AVERAGE(State_Data!E13,State_Data!F13,State_Data!G13)</f>
        <v>23.2266666666667</v>
      </c>
      <c r="D15" s="2" t="n">
        <f aca="false">RANK(B15,$B$4:$B$39)</f>
        <v>15</v>
      </c>
      <c r="E15" s="2" t="n">
        <f aca="false">RANK(C15,$C$4:$C$39)</f>
        <v>18</v>
      </c>
      <c r="F15" s="5" t="n">
        <f aca="false">AVERAGE((State_Data!B13-AVERAGE(State_Data!$B$2:$B$37))/STDEV(State_Data!$B$2:$B$37),(State_Data!C13-AVERAGE(State_Data!$C$2:$C$37))/STDEV(State_Data!$C$2:$C$37),(State_Data!D13-AVERAGE(State_Data!$D$2:$D$37))/STDEV(State_Data!$D$2:$D$37))</f>
        <v>0.0748069203719518</v>
      </c>
      <c r="G15" s="5" t="n">
        <f aca="false">AVERAGE((State_Data!E13-AVERAGE(State_Data!$E$2:$E$37))/STDEV(State_Data!$E$2:$E$37),(State_Data!F13-AVERAGE(State_Data!$F$2:$F$37))/STDEV(State_Data!$F$2:$F$37),(State_Data!G13-AVERAGE(State_Data!$G$2:$G$37))/STDEV(State_Data!$G$2:$G$37))</f>
        <v>-0.0812568340202464</v>
      </c>
      <c r="H15" s="2" t="n">
        <f aca="false">RANK(F15,$F$4:$F$39)</f>
        <v>15</v>
      </c>
      <c r="I15" s="2" t="n">
        <f aca="false">RANK(G15,$G$4:$G$39)</f>
        <v>18</v>
      </c>
    </row>
    <row r="16" customFormat="false" ht="15" hidden="false" customHeight="false" outlineLevel="0" collapsed="false">
      <c r="A16" s="2" t="str">
        <f aca="false">State_Data!A14</f>
        <v>Jammu &amp; Kashmir</v>
      </c>
      <c r="B16" s="5" t="n">
        <f aca="false">AVERAGE(State_Data!B14,State_Data!C14,State_Data!D14)</f>
        <v>19.35</v>
      </c>
      <c r="C16" s="5" t="n">
        <f aca="false">AVERAGE(State_Data!E14,State_Data!F14,State_Data!G14)</f>
        <v>19.53</v>
      </c>
      <c r="D16" s="2" t="n">
        <f aca="false">RANK(B16,$B$4:$B$39)</f>
        <v>23</v>
      </c>
      <c r="E16" s="2" t="n">
        <f aca="false">RANK(C16,$C$4:$C$39)</f>
        <v>25</v>
      </c>
      <c r="F16" s="5" t="n">
        <f aca="false">AVERAGE((State_Data!B14-AVERAGE(State_Data!$B$2:$B$37))/STDEV(State_Data!$B$2:$B$37),(State_Data!C14-AVERAGE(State_Data!$C$2:$C$37))/STDEV(State_Data!$C$2:$C$37),(State_Data!D14-AVERAGE(State_Data!$D$2:$D$37))/STDEV(State_Data!$D$2:$D$37))</f>
        <v>-0.520882295437969</v>
      </c>
      <c r="G16" s="5" t="n">
        <f aca="false">AVERAGE((State_Data!E14-AVERAGE(State_Data!$E$2:$E$37))/STDEV(State_Data!$E$2:$E$37),(State_Data!F14-AVERAGE(State_Data!$F$2:$F$37))/STDEV(State_Data!$F$2:$F$37),(State_Data!G14-AVERAGE(State_Data!$G$2:$G$37))/STDEV(State_Data!$G$2:$G$37))</f>
        <v>-0.857621087916378</v>
      </c>
      <c r="H16" s="2" t="n">
        <f aca="false">RANK(F16,$F$4:$F$39)</f>
        <v>25</v>
      </c>
      <c r="I16" s="2" t="n">
        <f aca="false">RANK(G16,$G$4:$G$39)</f>
        <v>31</v>
      </c>
    </row>
    <row r="17" customFormat="false" ht="15" hidden="false" customHeight="false" outlineLevel="0" collapsed="false">
      <c r="A17" s="2" t="str">
        <f aca="false">State_Data!A15</f>
        <v>Jharkhand</v>
      </c>
      <c r="B17" s="5" t="n">
        <f aca="false">AVERAGE(State_Data!B15,State_Data!C15,State_Data!D15)</f>
        <v>13.2733333333333</v>
      </c>
      <c r="C17" s="5" t="n">
        <f aca="false">AVERAGE(State_Data!E15,State_Data!F15,State_Data!G15)</f>
        <v>17.2633333333333</v>
      </c>
      <c r="D17" s="2" t="n">
        <f aca="false">RANK(B17,$B$4:$B$39)</f>
        <v>34</v>
      </c>
      <c r="E17" s="2" t="n">
        <f aca="false">RANK(C17,$C$4:$C$39)</f>
        <v>31</v>
      </c>
      <c r="F17" s="5" t="n">
        <f aca="false">AVERAGE((State_Data!B15-AVERAGE(State_Data!$B$2:$B$37))/STDEV(State_Data!$B$2:$B$37),(State_Data!C15-AVERAGE(State_Data!$C$2:$C$37))/STDEV(State_Data!$C$2:$C$37),(State_Data!D15-AVERAGE(State_Data!$D$2:$D$37))/STDEV(State_Data!$D$2:$D$37))</f>
        <v>-1.16949261244364</v>
      </c>
      <c r="G17" s="5" t="n">
        <f aca="false">AVERAGE((State_Data!E15-AVERAGE(State_Data!$E$2:$E$37))/STDEV(State_Data!$E$2:$E$37),(State_Data!F15-AVERAGE(State_Data!$F$2:$F$37))/STDEV(State_Data!$F$2:$F$37),(State_Data!G15-AVERAGE(State_Data!$G$2:$G$37))/STDEV(State_Data!$G$2:$G$37))</f>
        <v>-0.798113506847817</v>
      </c>
      <c r="H17" s="2" t="n">
        <f aca="false">RANK(F17,$F$4:$F$39)</f>
        <v>35</v>
      </c>
      <c r="I17" s="2" t="n">
        <f aca="false">RANK(G17,$G$4:$G$39)</f>
        <v>30</v>
      </c>
    </row>
    <row r="18" customFormat="false" ht="15" hidden="false" customHeight="false" outlineLevel="0" collapsed="false">
      <c r="A18" s="2" t="str">
        <f aca="false">State_Data!A16</f>
        <v>Karnataka</v>
      </c>
      <c r="B18" s="5" t="n">
        <f aca="false">AVERAGE(State_Data!B16,State_Data!C16,State_Data!D16)</f>
        <v>23.02</v>
      </c>
      <c r="C18" s="5" t="n">
        <f aca="false">AVERAGE(State_Data!E16,State_Data!F16,State_Data!G16)</f>
        <v>24.4266666666667</v>
      </c>
      <c r="D18" s="2" t="n">
        <f aca="false">RANK(B18,$B$4:$B$39)</f>
        <v>14</v>
      </c>
      <c r="E18" s="2" t="n">
        <f aca="false">RANK(C18,$C$4:$C$39)</f>
        <v>14</v>
      </c>
      <c r="F18" s="5" t="n">
        <f aca="false">AVERAGE((State_Data!B16-AVERAGE(State_Data!$B$2:$B$37))/STDEV(State_Data!$B$2:$B$37),(State_Data!C16-AVERAGE(State_Data!$C$2:$C$37))/STDEV(State_Data!$C$2:$C$37),(State_Data!D16-AVERAGE(State_Data!$D$2:$D$37))/STDEV(State_Data!$D$2:$D$37))</f>
        <v>0.278041082102782</v>
      </c>
      <c r="G18" s="5" t="n">
        <f aca="false">AVERAGE((State_Data!E16-AVERAGE(State_Data!$E$2:$E$37))/STDEV(State_Data!$E$2:$E$37),(State_Data!F16-AVERAGE(State_Data!$F$2:$F$37))/STDEV(State_Data!$F$2:$F$37),(State_Data!G16-AVERAGE(State_Data!$G$2:$G$37))/STDEV(State_Data!$G$2:$G$37))</f>
        <v>0.131120686354671</v>
      </c>
      <c r="H18" s="2" t="n">
        <f aca="false">RANK(F18,$F$4:$F$39)</f>
        <v>13</v>
      </c>
      <c r="I18" s="2" t="n">
        <f aca="false">RANK(G18,$G$4:$G$39)</f>
        <v>15</v>
      </c>
    </row>
    <row r="19" customFormat="false" ht="15" hidden="false" customHeight="false" outlineLevel="0" collapsed="false">
      <c r="A19" s="2" t="str">
        <f aca="false">State_Data!A17</f>
        <v>Kerala</v>
      </c>
      <c r="B19" s="5" t="n">
        <f aca="false">AVERAGE(State_Data!B17,State_Data!C17,State_Data!D17)</f>
        <v>31.2733333333333</v>
      </c>
      <c r="C19" s="5" t="n">
        <f aca="false">AVERAGE(State_Data!E17,State_Data!F17,State_Data!G17)</f>
        <v>32.0433333333333</v>
      </c>
      <c r="D19" s="2" t="n">
        <f aca="false">RANK(B19,$B$4:$B$39)</f>
        <v>1</v>
      </c>
      <c r="E19" s="2" t="n">
        <f aca="false">RANK(C19,$C$4:$C$39)</f>
        <v>1</v>
      </c>
      <c r="F19" s="5" t="n">
        <f aca="false">AVERAGE((State_Data!B17-AVERAGE(State_Data!$B$2:$B$37))/STDEV(State_Data!$B$2:$B$37),(State_Data!C17-AVERAGE(State_Data!$C$2:$C$37))/STDEV(State_Data!$C$2:$C$37),(State_Data!D17-AVERAGE(State_Data!$D$2:$D$37))/STDEV(State_Data!$D$2:$D$37))</f>
        <v>1.81951691174268</v>
      </c>
      <c r="G19" s="5" t="n">
        <f aca="false">AVERAGE((State_Data!E17-AVERAGE(State_Data!$E$2:$E$37))/STDEV(State_Data!$E$2:$E$37),(State_Data!F17-AVERAGE(State_Data!$F$2:$F$37))/STDEV(State_Data!$F$2:$F$37),(State_Data!G17-AVERAGE(State_Data!$G$2:$G$37))/STDEV(State_Data!$G$2:$G$37))</f>
        <v>1.53934827673371</v>
      </c>
      <c r="H19" s="2" t="n">
        <f aca="false">RANK(F19,$F$4:$F$39)</f>
        <v>1</v>
      </c>
      <c r="I19" s="2" t="n">
        <f aca="false">RANK(G19,$G$4:$G$39)</f>
        <v>1</v>
      </c>
    </row>
    <row r="20" customFormat="false" ht="15" hidden="false" customHeight="false" outlineLevel="0" collapsed="false">
      <c r="A20" s="2" t="str">
        <f aca="false">State_Data!A18</f>
        <v>Ladakh</v>
      </c>
      <c r="B20" s="5" t="n">
        <f aca="false">AVERAGE(State_Data!B18,State_Data!C18,State_Data!D18)</f>
        <v>16.8933333333333</v>
      </c>
      <c r="C20" s="5" t="n">
        <f aca="false">AVERAGE(State_Data!E18,State_Data!F18,State_Data!G18)</f>
        <v>21.15</v>
      </c>
      <c r="D20" s="2" t="n">
        <f aca="false">RANK(B20,$B$4:$B$39)</f>
        <v>27</v>
      </c>
      <c r="E20" s="2" t="n">
        <f aca="false">RANK(C20,$C$4:$C$39)</f>
        <v>23</v>
      </c>
      <c r="F20" s="5" t="n">
        <f aca="false">AVERAGE((State_Data!B18-AVERAGE(State_Data!$B$2:$B$37))/STDEV(State_Data!$B$2:$B$37),(State_Data!C18-AVERAGE(State_Data!$C$2:$C$37))/STDEV(State_Data!$C$2:$C$37),(State_Data!D18-AVERAGE(State_Data!$D$2:$D$37))/STDEV(State_Data!$D$2:$D$37))</f>
        <v>-1.03242879803794</v>
      </c>
      <c r="G20" s="5" t="n">
        <f aca="false">AVERAGE((State_Data!E18-AVERAGE(State_Data!$E$2:$E$37))/STDEV(State_Data!$E$2:$E$37),(State_Data!F18-AVERAGE(State_Data!$F$2:$F$37))/STDEV(State_Data!$F$2:$F$37),(State_Data!G18-AVERAGE(State_Data!$G$2:$G$37))/STDEV(State_Data!$G$2:$G$37))</f>
        <v>-0.696827949277571</v>
      </c>
      <c r="H20" s="2" t="n">
        <f aca="false">RANK(F20,$F$4:$F$39)</f>
        <v>33</v>
      </c>
      <c r="I20" s="2" t="n">
        <f aca="false">RANK(G20,$G$4:$G$39)</f>
        <v>26</v>
      </c>
    </row>
    <row r="21" customFormat="false" ht="15" hidden="false" customHeight="false" outlineLevel="0" collapsed="false">
      <c r="A21" s="2" t="str">
        <f aca="false">State_Data!A19</f>
        <v>Lakshadweep</v>
      </c>
      <c r="B21" s="5" t="n">
        <f aca="false">AVERAGE(State_Data!B19,State_Data!C19,State_Data!D19)</f>
        <v>25.9566666666667</v>
      </c>
      <c r="C21" s="5" t="n">
        <f aca="false">AVERAGE(State_Data!E19,State_Data!F19,State_Data!G19)</f>
        <v>28.9066666666667</v>
      </c>
      <c r="D21" s="2" t="n">
        <f aca="false">RANK(B21,$B$4:$B$39)</f>
        <v>10</v>
      </c>
      <c r="E21" s="2" t="n">
        <f aca="false">RANK(C21,$C$4:$C$39)</f>
        <v>6</v>
      </c>
      <c r="F21" s="5" t="n">
        <f aca="false">AVERAGE((State_Data!B19-AVERAGE(State_Data!$B$2:$B$37))/STDEV(State_Data!$B$2:$B$37),(State_Data!C19-AVERAGE(State_Data!$C$2:$C$37))/STDEV(State_Data!$C$2:$C$37),(State_Data!D19-AVERAGE(State_Data!$D$2:$D$37))/STDEV(State_Data!$D$2:$D$37))</f>
        <v>0.805375100259846</v>
      </c>
      <c r="G21" s="5" t="n">
        <f aca="false">AVERAGE((State_Data!E19-AVERAGE(State_Data!$E$2:$E$37))/STDEV(State_Data!$E$2:$E$37),(State_Data!F19-AVERAGE(State_Data!$F$2:$F$37))/STDEV(State_Data!$F$2:$F$37),(State_Data!G19-AVERAGE(State_Data!$G$2:$G$37))/STDEV(State_Data!$G$2:$G$37))</f>
        <v>0.792149580023205</v>
      </c>
      <c r="H21" s="2" t="n">
        <f aca="false">RANK(F21,$F$4:$F$39)</f>
        <v>10</v>
      </c>
      <c r="I21" s="2" t="n">
        <f aca="false">RANK(G21,$G$4:$G$39)</f>
        <v>7</v>
      </c>
    </row>
    <row r="22" customFormat="false" ht="15" hidden="false" customHeight="false" outlineLevel="0" collapsed="false">
      <c r="A22" s="2" t="str">
        <f aca="false">State_Data!A20</f>
        <v>Madhya Pradesh</v>
      </c>
      <c r="B22" s="5" t="n">
        <f aca="false">AVERAGE(State_Data!B20,State_Data!C20,State_Data!D20)</f>
        <v>15.66</v>
      </c>
      <c r="C22" s="5" t="n">
        <f aca="false">AVERAGE(State_Data!E20,State_Data!F20,State_Data!G20)</f>
        <v>16.81</v>
      </c>
      <c r="D22" s="2" t="n">
        <f aca="false">RANK(B22,$B$4:$B$39)</f>
        <v>30</v>
      </c>
      <c r="E22" s="2" t="n">
        <f aca="false">RANK(C22,$C$4:$C$39)</f>
        <v>33</v>
      </c>
      <c r="F22" s="5" t="n">
        <f aca="false">AVERAGE((State_Data!B20-AVERAGE(State_Data!$B$2:$B$37))/STDEV(State_Data!$B$2:$B$37),(State_Data!C20-AVERAGE(State_Data!$C$2:$C$37))/STDEV(State_Data!$C$2:$C$37),(State_Data!D20-AVERAGE(State_Data!$D$2:$D$37))/STDEV(State_Data!$D$2:$D$37))</f>
        <v>-0.826310551443147</v>
      </c>
      <c r="G22" s="5" t="n">
        <f aca="false">AVERAGE((State_Data!E20-AVERAGE(State_Data!$E$2:$E$37))/STDEV(State_Data!$E$2:$E$37),(State_Data!F20-AVERAGE(State_Data!$F$2:$F$37))/STDEV(State_Data!$F$2:$F$37),(State_Data!G20-AVERAGE(State_Data!$G$2:$G$37))/STDEV(State_Data!$G$2:$G$37))</f>
        <v>-0.921563466475223</v>
      </c>
      <c r="H22" s="2" t="n">
        <f aca="false">RANK(F22,$F$4:$F$39)</f>
        <v>31</v>
      </c>
      <c r="I22" s="2" t="n">
        <f aca="false">RANK(G22,$G$4:$G$39)</f>
        <v>34</v>
      </c>
    </row>
    <row r="23" customFormat="false" ht="15" hidden="false" customHeight="false" outlineLevel="0" collapsed="false">
      <c r="A23" s="2" t="str">
        <f aca="false">State_Data!A21</f>
        <v>Maharastra</v>
      </c>
      <c r="B23" s="5" t="n">
        <f aca="false">AVERAGE(State_Data!B21,State_Data!C21,State_Data!D21)</f>
        <v>19.6466666666667</v>
      </c>
      <c r="C23" s="5" t="n">
        <f aca="false">AVERAGE(State_Data!E21,State_Data!F21,State_Data!G21)</f>
        <v>20.9</v>
      </c>
      <c r="D23" s="2" t="n">
        <f aca="false">RANK(B23,$B$4:$B$39)</f>
        <v>22</v>
      </c>
      <c r="E23" s="2" t="n">
        <f aca="false">RANK(C23,$C$4:$C$39)</f>
        <v>24</v>
      </c>
      <c r="F23" s="5" t="n">
        <f aca="false">AVERAGE((State_Data!B21-AVERAGE(State_Data!$B$2:$B$37))/STDEV(State_Data!$B$2:$B$37),(State_Data!C21-AVERAGE(State_Data!$C$2:$C$37))/STDEV(State_Data!$C$2:$C$37),(State_Data!D21-AVERAGE(State_Data!$D$2:$D$37))/STDEV(State_Data!$D$2:$D$37))</f>
        <v>-0.207445069538247</v>
      </c>
      <c r="G23" s="5" t="n">
        <f aca="false">AVERAGE((State_Data!E21-AVERAGE(State_Data!$E$2:$E$37))/STDEV(State_Data!$E$2:$E$37),(State_Data!F21-AVERAGE(State_Data!$F$2:$F$37))/STDEV(State_Data!$F$2:$F$37),(State_Data!G21-AVERAGE(State_Data!$G$2:$G$37))/STDEV(State_Data!$G$2:$G$37))</f>
        <v>-0.380708871220007</v>
      </c>
      <c r="H23" s="2" t="n">
        <f aca="false">RANK(F23,$F$4:$F$39)</f>
        <v>22</v>
      </c>
      <c r="I23" s="2" t="n">
        <f aca="false">RANK(G23,$G$4:$G$39)</f>
        <v>24</v>
      </c>
    </row>
    <row r="24" customFormat="false" ht="15" hidden="false" customHeight="false" outlineLevel="0" collapsed="false">
      <c r="A24" s="2" t="str">
        <f aca="false">State_Data!A22</f>
        <v>Manipur</v>
      </c>
      <c r="B24" s="5" t="n">
        <f aca="false">AVERAGE(State_Data!B22,State_Data!C22,State_Data!D22)</f>
        <v>23.5566666666667</v>
      </c>
      <c r="C24" s="5" t="n">
        <f aca="false">AVERAGE(State_Data!E22,State_Data!F22,State_Data!G22)</f>
        <v>26.6366666666667</v>
      </c>
      <c r="D24" s="2" t="n">
        <f aca="false">RANK(B24,$B$4:$B$39)</f>
        <v>13</v>
      </c>
      <c r="E24" s="2" t="n">
        <f aca="false">RANK(C24,$C$4:$C$39)</f>
        <v>13</v>
      </c>
      <c r="F24" s="5" t="n">
        <f aca="false">AVERAGE((State_Data!B22-AVERAGE(State_Data!$B$2:$B$37))/STDEV(State_Data!$B$2:$B$37),(State_Data!C22-AVERAGE(State_Data!$C$2:$C$37))/STDEV(State_Data!$C$2:$C$37),(State_Data!D22-AVERAGE(State_Data!$D$2:$D$37))/STDEV(State_Data!$D$2:$D$37))</f>
        <v>0.236936048192333</v>
      </c>
      <c r="G24" s="5" t="n">
        <f aca="false">AVERAGE((State_Data!E22-AVERAGE(State_Data!$E$2:$E$37))/STDEV(State_Data!$E$2:$E$37),(State_Data!F22-AVERAGE(State_Data!$F$2:$F$37))/STDEV(State_Data!$F$2:$F$37),(State_Data!G22-AVERAGE(State_Data!$G$2:$G$37))/STDEV(State_Data!$G$2:$G$37))</f>
        <v>0.528888390674396</v>
      </c>
      <c r="H24" s="2" t="n">
        <f aca="false">RANK(F24,$F$4:$F$39)</f>
        <v>14</v>
      </c>
      <c r="I24" s="2" t="n">
        <f aca="false">RANK(G24,$G$4:$G$39)</f>
        <v>13</v>
      </c>
    </row>
    <row r="25" customFormat="false" ht="15" hidden="false" customHeight="false" outlineLevel="0" collapsed="false">
      <c r="A25" s="2" t="str">
        <f aca="false">State_Data!A23</f>
        <v>Meghalaya</v>
      </c>
      <c r="B25" s="5" t="n">
        <f aca="false">AVERAGE(State_Data!B23,State_Data!C23,State_Data!D23)</f>
        <v>13.2266666666667</v>
      </c>
      <c r="C25" s="5" t="n">
        <f aca="false">AVERAGE(State_Data!E23,State_Data!F23,State_Data!G23)</f>
        <v>16.3766666666667</v>
      </c>
      <c r="D25" s="2" t="n">
        <f aca="false">RANK(B25,$B$4:$B$39)</f>
        <v>35</v>
      </c>
      <c r="E25" s="2" t="n">
        <f aca="false">RANK(C25,$C$4:$C$39)</f>
        <v>35</v>
      </c>
      <c r="F25" s="5" t="n">
        <f aca="false">AVERAGE((State_Data!B23-AVERAGE(State_Data!$B$2:$B$37))/STDEV(State_Data!$B$2:$B$37),(State_Data!C23-AVERAGE(State_Data!$C$2:$C$37))/STDEV(State_Data!$C$2:$C$37),(State_Data!D23-AVERAGE(State_Data!$D$2:$D$37))/STDEV(State_Data!$D$2:$D$37))</f>
        <v>-1.16523011447446</v>
      </c>
      <c r="G25" s="5" t="n">
        <f aca="false">AVERAGE((State_Data!E23-AVERAGE(State_Data!$E$2:$E$37))/STDEV(State_Data!$E$2:$E$37),(State_Data!F23-AVERAGE(State_Data!$F$2:$F$37))/STDEV(State_Data!$F$2:$F$37),(State_Data!G23-AVERAGE(State_Data!$G$2:$G$37))/STDEV(State_Data!$G$2:$G$37))</f>
        <v>-0.926852060586519</v>
      </c>
      <c r="H25" s="2" t="n">
        <f aca="false">RANK(F25,$F$4:$F$39)</f>
        <v>34</v>
      </c>
      <c r="I25" s="2" t="n">
        <f aca="false">RANK(G25,$G$4:$G$39)</f>
        <v>35</v>
      </c>
    </row>
    <row r="26" customFormat="false" ht="15" hidden="false" customHeight="false" outlineLevel="0" collapsed="false">
      <c r="A26" s="2" t="str">
        <f aca="false">State_Data!A24</f>
        <v>Mizoram</v>
      </c>
      <c r="B26" s="5" t="n">
        <f aca="false">AVERAGE(State_Data!B24,State_Data!C24,State_Data!D24)</f>
        <v>18.57</v>
      </c>
      <c r="C26" s="5" t="n">
        <f aca="false">AVERAGE(State_Data!E24,State_Data!F24,State_Data!G24)</f>
        <v>24.1733333333333</v>
      </c>
      <c r="D26" s="2" t="n">
        <f aca="false">RANK(B26,$B$4:$B$39)</f>
        <v>25</v>
      </c>
      <c r="E26" s="2" t="n">
        <f aca="false">RANK(C26,$C$4:$C$39)</f>
        <v>16</v>
      </c>
      <c r="F26" s="5" t="n">
        <f aca="false">AVERAGE((State_Data!B24-AVERAGE(State_Data!$B$2:$B$37))/STDEV(State_Data!$B$2:$B$37),(State_Data!C24-AVERAGE(State_Data!$C$2:$C$37))/STDEV(State_Data!$C$2:$C$37),(State_Data!D24-AVERAGE(State_Data!$D$2:$D$37))/STDEV(State_Data!$D$2:$D$37))</f>
        <v>-0.482242960348823</v>
      </c>
      <c r="G26" s="5" t="n">
        <f aca="false">AVERAGE((State_Data!E24-AVERAGE(State_Data!$E$2:$E$37))/STDEV(State_Data!$E$2:$E$37),(State_Data!F24-AVERAGE(State_Data!$F$2:$F$37))/STDEV(State_Data!$F$2:$F$37),(State_Data!G24-AVERAGE(State_Data!$G$2:$G$37))/STDEV(State_Data!$G$2:$G$37))</f>
        <v>0.067595039893428</v>
      </c>
      <c r="H26" s="2" t="n">
        <f aca="false">RANK(F26,$F$4:$F$39)</f>
        <v>24</v>
      </c>
      <c r="I26" s="2" t="n">
        <f aca="false">RANK(G26,$G$4:$G$39)</f>
        <v>17</v>
      </c>
    </row>
    <row r="27" customFormat="false" ht="15" hidden="false" customHeight="false" outlineLevel="0" collapsed="false">
      <c r="A27" s="2" t="str">
        <f aca="false">State_Data!A25</f>
        <v>Nagaland</v>
      </c>
      <c r="B27" s="5" t="n">
        <f aca="false">AVERAGE(State_Data!B25,State_Data!C25,State_Data!D25)</f>
        <v>15.3533333333333</v>
      </c>
      <c r="C27" s="5" t="n">
        <f aca="false">AVERAGE(State_Data!E25,State_Data!F25,State_Data!G25)</f>
        <v>21.6833333333333</v>
      </c>
      <c r="D27" s="2" t="n">
        <f aca="false">RANK(B27,$B$4:$B$39)</f>
        <v>32</v>
      </c>
      <c r="E27" s="2" t="n">
        <f aca="false">RANK(C27,$C$4:$C$39)</f>
        <v>21</v>
      </c>
      <c r="F27" s="5" t="n">
        <f aca="false">AVERAGE((State_Data!B25-AVERAGE(State_Data!$B$2:$B$37))/STDEV(State_Data!$B$2:$B$37),(State_Data!C25-AVERAGE(State_Data!$C$2:$C$37))/STDEV(State_Data!$C$2:$C$37),(State_Data!D25-AVERAGE(State_Data!$D$2:$D$37))/STDEV(State_Data!$D$2:$D$37))</f>
        <v>-0.80749964142151</v>
      </c>
      <c r="G27" s="5" t="n">
        <f aca="false">AVERAGE((State_Data!E25-AVERAGE(State_Data!$E$2:$E$37))/STDEV(State_Data!$E$2:$E$37),(State_Data!F25-AVERAGE(State_Data!$F$2:$F$37))/STDEV(State_Data!$F$2:$F$37),(State_Data!G25-AVERAGE(State_Data!$G$2:$G$37))/STDEV(State_Data!$G$2:$G$37))</f>
        <v>-0.262619892387444</v>
      </c>
      <c r="H27" s="2" t="n">
        <f aca="false">RANK(F27,$F$4:$F$39)</f>
        <v>29</v>
      </c>
      <c r="I27" s="2" t="n">
        <f aca="false">RANK(G27,$G$4:$G$39)</f>
        <v>22</v>
      </c>
    </row>
    <row r="28" customFormat="false" ht="15" hidden="false" customHeight="false" outlineLevel="0" collapsed="false">
      <c r="A28" s="2" t="str">
        <f aca="false">State_Data!A26</f>
        <v>NCT of Delhi</v>
      </c>
      <c r="B28" s="5" t="n">
        <f aca="false">AVERAGE(State_Data!B26,State_Data!C26,State_Data!D26)</f>
        <v>25.8966666666667</v>
      </c>
      <c r="C28" s="5" t="n">
        <f aca="false">AVERAGE(State_Data!E26,State_Data!F26,State_Data!G26)</f>
        <v>28.2633333333333</v>
      </c>
      <c r="D28" s="2" t="n">
        <f aca="false">RANK(B28,$B$4:$B$39)</f>
        <v>11</v>
      </c>
      <c r="E28" s="2" t="n">
        <f aca="false">RANK(C28,$C$4:$C$39)</f>
        <v>7</v>
      </c>
      <c r="F28" s="5" t="n">
        <f aca="false">AVERAGE((State_Data!B26-AVERAGE(State_Data!$B$2:$B$37))/STDEV(State_Data!$B$2:$B$37),(State_Data!C26-AVERAGE(State_Data!$C$2:$C$37))/STDEV(State_Data!$C$2:$C$37),(State_Data!D26-AVERAGE(State_Data!$D$2:$D$37))/STDEV(State_Data!$D$2:$D$37))</f>
        <v>0.46428555005248</v>
      </c>
      <c r="G28" s="5" t="n">
        <f aca="false">AVERAGE((State_Data!E26-AVERAGE(State_Data!$E$2:$E$37))/STDEV(State_Data!$E$2:$E$37),(State_Data!F26-AVERAGE(State_Data!$F$2:$F$37))/STDEV(State_Data!$F$2:$F$37),(State_Data!G26-AVERAGE(State_Data!$G$2:$G$37))/STDEV(State_Data!$G$2:$G$37))</f>
        <v>0.603555058197837</v>
      </c>
      <c r="H28" s="2" t="n">
        <f aca="false">RANK(F28,$F$4:$F$39)</f>
        <v>11</v>
      </c>
      <c r="I28" s="2" t="n">
        <f aca="false">RANK(G28,$G$4:$G$39)</f>
        <v>11</v>
      </c>
    </row>
    <row r="29" customFormat="false" ht="15" hidden="false" customHeight="false" outlineLevel="0" collapsed="false">
      <c r="A29" s="2" t="str">
        <f aca="false">State_Data!A27</f>
        <v>Odisha</v>
      </c>
      <c r="B29" s="5" t="n">
        <f aca="false">AVERAGE(State_Data!B27,State_Data!C27,State_Data!D27)</f>
        <v>19.77</v>
      </c>
      <c r="C29" s="5" t="n">
        <f aca="false">AVERAGE(State_Data!E27,State_Data!F27,State_Data!G27)</f>
        <v>21.6166666666667</v>
      </c>
      <c r="D29" s="2" t="n">
        <f aca="false">RANK(B29,$B$4:$B$39)</f>
        <v>20</v>
      </c>
      <c r="E29" s="2" t="n">
        <f aca="false">RANK(C29,$C$4:$C$39)</f>
        <v>22</v>
      </c>
      <c r="F29" s="5" t="n">
        <f aca="false">AVERAGE((State_Data!B27-AVERAGE(State_Data!$B$2:$B$37))/STDEV(State_Data!$B$2:$B$37),(State_Data!C27-AVERAGE(State_Data!$C$2:$C$37))/STDEV(State_Data!$C$2:$C$37),(State_Data!D27-AVERAGE(State_Data!$D$2:$D$37))/STDEV(State_Data!$D$2:$D$37))</f>
        <v>-0.159461932735408</v>
      </c>
      <c r="G29" s="5" t="n">
        <f aca="false">AVERAGE((State_Data!E27-AVERAGE(State_Data!$E$2:$E$37))/STDEV(State_Data!$E$2:$E$37),(State_Data!F27-AVERAGE(State_Data!$F$2:$F$37))/STDEV(State_Data!$F$2:$F$37),(State_Data!G27-AVERAGE(State_Data!$G$2:$G$37))/STDEV(State_Data!$G$2:$G$37))</f>
        <v>-0.143453513845979</v>
      </c>
      <c r="H29" s="2" t="n">
        <f aca="false">RANK(F29,$F$4:$F$39)</f>
        <v>20</v>
      </c>
      <c r="I29" s="2" t="n">
        <f aca="false">RANK(G29,$G$4:$G$39)</f>
        <v>20</v>
      </c>
    </row>
    <row r="30" customFormat="false" ht="15" hidden="false" customHeight="false" outlineLevel="0" collapsed="false">
      <c r="A30" s="2" t="str">
        <f aca="false">State_Data!A28</f>
        <v>Puducherry</v>
      </c>
      <c r="B30" s="5" t="n">
        <f aca="false">AVERAGE(State_Data!B28,State_Data!C28,State_Data!D28)</f>
        <v>29.7766666666667</v>
      </c>
      <c r="C30" s="5" t="n">
        <f aca="false">AVERAGE(State_Data!E28,State_Data!F28,State_Data!G28)</f>
        <v>31.71</v>
      </c>
      <c r="D30" s="2" t="n">
        <f aca="false">RANK(B30,$B$4:$B$39)</f>
        <v>2</v>
      </c>
      <c r="E30" s="2" t="n">
        <f aca="false">RANK(C30,$C$4:$C$39)</f>
        <v>2</v>
      </c>
      <c r="F30" s="5" t="n">
        <f aca="false">AVERAGE((State_Data!B28-AVERAGE(State_Data!$B$2:$B$37))/STDEV(State_Data!$B$2:$B$37),(State_Data!C28-AVERAGE(State_Data!$C$2:$C$37))/STDEV(State_Data!$C$2:$C$37),(State_Data!D28-AVERAGE(State_Data!$D$2:$D$37))/STDEV(State_Data!$D$2:$D$37))</f>
        <v>1.14424605960106</v>
      </c>
      <c r="G30" s="5" t="n">
        <f aca="false">AVERAGE((State_Data!E28-AVERAGE(State_Data!$E$2:$E$37))/STDEV(State_Data!$E$2:$E$37),(State_Data!F28-AVERAGE(State_Data!$F$2:$F$37))/STDEV(State_Data!$F$2:$F$37),(State_Data!G28-AVERAGE(State_Data!$G$2:$G$37))/STDEV(State_Data!$G$2:$G$37))</f>
        <v>1.24196717280415</v>
      </c>
      <c r="H30" s="2" t="n">
        <f aca="false">RANK(F30,$F$4:$F$39)</f>
        <v>4</v>
      </c>
      <c r="I30" s="2" t="n">
        <f aca="false">RANK(G30,$G$4:$G$39)</f>
        <v>2</v>
      </c>
    </row>
    <row r="31" customFormat="false" ht="15" hidden="false" customHeight="false" outlineLevel="0" collapsed="false">
      <c r="A31" s="2" t="str">
        <f aca="false">State_Data!A29</f>
        <v>Punjab</v>
      </c>
      <c r="B31" s="5" t="n">
        <f aca="false">AVERAGE(State_Data!B29,State_Data!C29,State_Data!D29)</f>
        <v>28.9133333333333</v>
      </c>
      <c r="C31" s="5" t="n">
        <f aca="false">AVERAGE(State_Data!E29,State_Data!F29,State_Data!G29)</f>
        <v>28.0133333333333</v>
      </c>
      <c r="D31" s="2" t="n">
        <f aca="false">RANK(B31,$B$4:$B$39)</f>
        <v>4</v>
      </c>
      <c r="E31" s="2" t="n">
        <f aca="false">RANK(C31,$C$4:$C$39)</f>
        <v>8</v>
      </c>
      <c r="F31" s="5" t="n">
        <f aca="false">AVERAGE((State_Data!B29-AVERAGE(State_Data!$B$2:$B$37))/STDEV(State_Data!$B$2:$B$37),(State_Data!C29-AVERAGE(State_Data!$C$2:$C$37))/STDEV(State_Data!$C$2:$C$37),(State_Data!D29-AVERAGE(State_Data!$D$2:$D$37))/STDEV(State_Data!$D$2:$D$37))</f>
        <v>1.16834411664926</v>
      </c>
      <c r="G31" s="5" t="n">
        <f aca="false">AVERAGE((State_Data!E29-AVERAGE(State_Data!$E$2:$E$37))/STDEV(State_Data!$E$2:$E$37),(State_Data!F29-AVERAGE(State_Data!$F$2:$F$37))/STDEV(State_Data!$F$2:$F$37),(State_Data!G29-AVERAGE(State_Data!$G$2:$G$37))/STDEV(State_Data!$G$2:$G$37))</f>
        <v>0.669146188742642</v>
      </c>
      <c r="H31" s="2" t="n">
        <f aca="false">RANK(F31,$F$4:$F$39)</f>
        <v>3</v>
      </c>
      <c r="I31" s="2" t="n">
        <f aca="false">RANK(G31,$G$4:$G$39)</f>
        <v>9</v>
      </c>
    </row>
    <row r="32" customFormat="false" ht="15" hidden="false" customHeight="false" outlineLevel="0" collapsed="false">
      <c r="A32" s="2" t="str">
        <f aca="false">State_Data!A30</f>
        <v>Rajasthan</v>
      </c>
      <c r="B32" s="5" t="n">
        <f aca="false">AVERAGE(State_Data!B30,State_Data!C30,State_Data!D30)</f>
        <v>11.8266666666667</v>
      </c>
      <c r="C32" s="5" t="n">
        <f aca="false">AVERAGE(State_Data!E30,State_Data!F30,State_Data!G30)</f>
        <v>13.93</v>
      </c>
      <c r="D32" s="2" t="n">
        <f aca="false">RANK(B32,$B$4:$B$39)</f>
        <v>36</v>
      </c>
      <c r="E32" s="2" t="n">
        <f aca="false">RANK(C32,$C$4:$C$39)</f>
        <v>36</v>
      </c>
      <c r="F32" s="5" t="n">
        <f aca="false">AVERAGE((State_Data!B30-AVERAGE(State_Data!$B$2:$B$37))/STDEV(State_Data!$B$2:$B$37),(State_Data!C30-AVERAGE(State_Data!$C$2:$C$37))/STDEV(State_Data!$C$2:$C$37),(State_Data!D30-AVERAGE(State_Data!$D$2:$D$37))/STDEV(State_Data!$D$2:$D$37))</f>
        <v>-1.54165335171899</v>
      </c>
      <c r="G32" s="5" t="n">
        <f aca="false">AVERAGE((State_Data!E30-AVERAGE(State_Data!$E$2:$E$37))/STDEV(State_Data!$E$2:$E$37),(State_Data!F30-AVERAGE(State_Data!$F$2:$F$37))/STDEV(State_Data!$F$2:$F$37),(State_Data!G30-AVERAGE(State_Data!$G$2:$G$37))/STDEV(State_Data!$G$2:$G$37))</f>
        <v>-1.45863877236364</v>
      </c>
      <c r="H32" s="2" t="n">
        <f aca="false">RANK(F32,$F$4:$F$39)</f>
        <v>36</v>
      </c>
      <c r="I32" s="2" t="n">
        <f aca="false">RANK(G32,$G$4:$G$39)</f>
        <v>36</v>
      </c>
    </row>
    <row r="33" customFormat="false" ht="15" hidden="false" customHeight="false" outlineLevel="0" collapsed="false">
      <c r="A33" s="2" t="str">
        <f aca="false">State_Data!A31</f>
        <v>Sikkim</v>
      </c>
      <c r="B33" s="5" t="n">
        <f aca="false">AVERAGE(State_Data!B31,State_Data!C31,State_Data!D31)</f>
        <v>27.1466666666667</v>
      </c>
      <c r="C33" s="5" t="n">
        <f aca="false">AVERAGE(State_Data!E31,State_Data!F31,State_Data!G31)</f>
        <v>31.2</v>
      </c>
      <c r="D33" s="2" t="n">
        <f aca="false">RANK(B33,$B$4:$B$39)</f>
        <v>7</v>
      </c>
      <c r="E33" s="2" t="n">
        <f aca="false">RANK(C33,$C$4:$C$39)</f>
        <v>3</v>
      </c>
      <c r="F33" s="5" t="n">
        <f aca="false">AVERAGE((State_Data!B31-AVERAGE(State_Data!$B$2:$B$37))/STDEV(State_Data!$B$2:$B$37),(State_Data!C31-AVERAGE(State_Data!$C$2:$C$37))/STDEV(State_Data!$C$2:$C$37),(State_Data!D31-AVERAGE(State_Data!$D$2:$D$37))/STDEV(State_Data!$D$2:$D$37))</f>
        <v>1.01979365440057</v>
      </c>
      <c r="G33" s="5" t="n">
        <f aca="false">AVERAGE((State_Data!E31-AVERAGE(State_Data!$E$2:$E$37))/STDEV(State_Data!$E$2:$E$37),(State_Data!F31-AVERAGE(State_Data!$F$2:$F$37))/STDEV(State_Data!$F$2:$F$37),(State_Data!G31-AVERAGE(State_Data!$G$2:$G$37))/STDEV(State_Data!$G$2:$G$37))</f>
        <v>1.15745745855269</v>
      </c>
      <c r="H33" s="2" t="n">
        <f aca="false">RANK(F33,$F$4:$F$39)</f>
        <v>7</v>
      </c>
      <c r="I33" s="2" t="n">
        <f aca="false">RANK(G33,$G$4:$G$39)</f>
        <v>3</v>
      </c>
    </row>
    <row r="34" customFormat="false" ht="15" hidden="false" customHeight="false" outlineLevel="0" collapsed="false">
      <c r="A34" s="2" t="str">
        <f aca="false">State_Data!A32</f>
        <v>Tamil Nadu</v>
      </c>
      <c r="B34" s="5" t="n">
        <f aca="false">AVERAGE(State_Data!B32,State_Data!C32,State_Data!D32)</f>
        <v>28.6266666666667</v>
      </c>
      <c r="C34" s="5" t="n">
        <f aca="false">AVERAGE(State_Data!E32,State_Data!F32,State_Data!G32)</f>
        <v>29.7433333333333</v>
      </c>
      <c r="D34" s="2" t="n">
        <f aca="false">RANK(B34,$B$4:$B$39)</f>
        <v>5</v>
      </c>
      <c r="E34" s="2" t="n">
        <f aca="false">RANK(C34,$C$4:$C$39)</f>
        <v>5</v>
      </c>
      <c r="F34" s="5" t="n">
        <f aca="false">AVERAGE((State_Data!B32-AVERAGE(State_Data!$B$2:$B$37))/STDEV(State_Data!$B$2:$B$37),(State_Data!C32-AVERAGE(State_Data!$C$2:$C$37))/STDEV(State_Data!$C$2:$C$37),(State_Data!D32-AVERAGE(State_Data!$D$2:$D$37))/STDEV(State_Data!$D$2:$D$37))</f>
        <v>1.12302343512615</v>
      </c>
      <c r="G34" s="5" t="n">
        <f aca="false">AVERAGE((State_Data!E32-AVERAGE(State_Data!$E$2:$E$37))/STDEV(State_Data!$E$2:$E$37),(State_Data!F32-AVERAGE(State_Data!$F$2:$F$37))/STDEV(State_Data!$F$2:$F$37),(State_Data!G32-AVERAGE(State_Data!$G$2:$G$37))/STDEV(State_Data!$G$2:$G$37))</f>
        <v>1.03881953418839</v>
      </c>
      <c r="H34" s="2" t="n">
        <f aca="false">RANK(F34,$F$4:$F$39)</f>
        <v>6</v>
      </c>
      <c r="I34" s="2" t="n">
        <f aca="false">RANK(G34,$G$4:$G$39)</f>
        <v>4</v>
      </c>
    </row>
    <row r="35" customFormat="false" ht="15" hidden="false" customHeight="false" outlineLevel="0" collapsed="false">
      <c r="A35" s="2" t="str">
        <f aca="false">State_Data!A33</f>
        <v>Telangana</v>
      </c>
      <c r="B35" s="5" t="n">
        <f aca="false">AVERAGE(State_Data!B33,State_Data!C33,State_Data!D33)</f>
        <v>23.64</v>
      </c>
      <c r="C35" s="5" t="n">
        <f aca="false">AVERAGE(State_Data!E33,State_Data!F33,State_Data!G33)</f>
        <v>27.2766666666667</v>
      </c>
      <c r="D35" s="2" t="n">
        <f aca="false">RANK(B35,$B$4:$B$39)</f>
        <v>12</v>
      </c>
      <c r="E35" s="2" t="n">
        <f aca="false">RANK(C35,$C$4:$C$39)</f>
        <v>11</v>
      </c>
      <c r="F35" s="5" t="n">
        <f aca="false">AVERAGE((State_Data!B33-AVERAGE(State_Data!$B$2:$B$37))/STDEV(State_Data!$B$2:$B$37),(State_Data!C33-AVERAGE(State_Data!$C$2:$C$37))/STDEV(State_Data!$C$2:$C$37),(State_Data!D33-AVERAGE(State_Data!$D$2:$D$37))/STDEV(State_Data!$D$2:$D$37))</f>
        <v>0.420668970776062</v>
      </c>
      <c r="G35" s="5" t="n">
        <f aca="false">AVERAGE((State_Data!E33-AVERAGE(State_Data!$E$2:$E$37))/STDEV(State_Data!$E$2:$E$37),(State_Data!F33-AVERAGE(State_Data!$F$2:$F$37))/STDEV(State_Data!$F$2:$F$37),(State_Data!G33-AVERAGE(State_Data!$G$2:$G$37))/STDEV(State_Data!$G$2:$G$37))</f>
        <v>0.631684504383232</v>
      </c>
      <c r="H35" s="2" t="n">
        <f aca="false">RANK(F35,$F$4:$F$39)</f>
        <v>12</v>
      </c>
      <c r="I35" s="2" t="n">
        <f aca="false">RANK(G35,$G$4:$G$39)</f>
        <v>10</v>
      </c>
    </row>
    <row r="36" customFormat="false" ht="15" hidden="false" customHeight="false" outlineLevel="0" collapsed="false">
      <c r="A36" s="2" t="str">
        <f aca="false">State_Data!A34</f>
        <v>Tripura</v>
      </c>
      <c r="B36" s="5" t="n">
        <f aca="false">AVERAGE(State_Data!B34,State_Data!C34,State_Data!D34)</f>
        <v>20.0366666666667</v>
      </c>
      <c r="C36" s="5" t="n">
        <f aca="false">AVERAGE(State_Data!E34,State_Data!F34,State_Data!G34)</f>
        <v>21.81</v>
      </c>
      <c r="D36" s="2" t="n">
        <f aca="false">RANK(B36,$B$4:$B$39)</f>
        <v>19</v>
      </c>
      <c r="E36" s="2" t="n">
        <f aca="false">RANK(C36,$C$4:$C$39)</f>
        <v>20</v>
      </c>
      <c r="F36" s="5" t="n">
        <f aca="false">AVERAGE((State_Data!B34-AVERAGE(State_Data!$B$2:$B$37))/STDEV(State_Data!$B$2:$B$37),(State_Data!C34-AVERAGE(State_Data!$C$2:$C$37))/STDEV(State_Data!$C$2:$C$37),(State_Data!D34-AVERAGE(State_Data!$D$2:$D$37))/STDEV(State_Data!$D$2:$D$37))</f>
        <v>-0.03752638361896</v>
      </c>
      <c r="G36" s="5" t="n">
        <f aca="false">AVERAGE((State_Data!E34-AVERAGE(State_Data!$E$2:$E$37))/STDEV(State_Data!$E$2:$E$37),(State_Data!F34-AVERAGE(State_Data!$F$2:$F$37))/STDEV(State_Data!$F$2:$F$37),(State_Data!G34-AVERAGE(State_Data!$G$2:$G$37))/STDEV(State_Data!$G$2:$G$37))</f>
        <v>-0.0847304313708721</v>
      </c>
      <c r="H36" s="2" t="n">
        <f aca="false">RANK(F36,$F$4:$F$39)</f>
        <v>16</v>
      </c>
      <c r="I36" s="2" t="n">
        <f aca="false">RANK(G36,$G$4:$G$39)</f>
        <v>19</v>
      </c>
    </row>
    <row r="37" customFormat="false" ht="15" hidden="false" customHeight="false" outlineLevel="0" collapsed="false">
      <c r="A37" s="2" t="str">
        <f aca="false">State_Data!A35</f>
        <v>Uttar Pradesh</v>
      </c>
      <c r="B37" s="5" t="n">
        <f aca="false">AVERAGE(State_Data!B35,State_Data!C35,State_Data!D35)</f>
        <v>16.5533333333333</v>
      </c>
      <c r="C37" s="5" t="n">
        <f aca="false">AVERAGE(State_Data!E35,State_Data!F35,State_Data!G35)</f>
        <v>17.2533333333333</v>
      </c>
      <c r="D37" s="2" t="n">
        <f aca="false">RANK(B37,$B$4:$B$39)</f>
        <v>28</v>
      </c>
      <c r="E37" s="2" t="n">
        <f aca="false">RANK(C37,$C$4:$C$39)</f>
        <v>32</v>
      </c>
      <c r="F37" s="5" t="n">
        <f aca="false">AVERAGE((State_Data!B35-AVERAGE(State_Data!$B$2:$B$37))/STDEV(State_Data!$B$2:$B$37),(State_Data!C35-AVERAGE(State_Data!$C$2:$C$37))/STDEV(State_Data!$C$2:$C$37),(State_Data!D35-AVERAGE(State_Data!$D$2:$D$37))/STDEV(State_Data!$D$2:$D$37))</f>
        <v>-0.821263073262912</v>
      </c>
      <c r="G37" s="5" t="n">
        <f aca="false">AVERAGE((State_Data!E35-AVERAGE(State_Data!$E$2:$E$37))/STDEV(State_Data!$E$2:$E$37),(State_Data!F35-AVERAGE(State_Data!$F$2:$F$37))/STDEV(State_Data!$F$2:$F$37),(State_Data!G35-AVERAGE(State_Data!$G$2:$G$37))/STDEV(State_Data!$G$2:$G$37))</f>
        <v>-0.916231365817122</v>
      </c>
      <c r="H37" s="2" t="n">
        <f aca="false">RANK(F37,$F$4:$F$39)</f>
        <v>30</v>
      </c>
      <c r="I37" s="2" t="n">
        <f aca="false">RANK(G37,$G$4:$G$39)</f>
        <v>33</v>
      </c>
    </row>
    <row r="38" customFormat="false" ht="15" hidden="false" customHeight="false" outlineLevel="0" collapsed="false">
      <c r="A38" s="2" t="str">
        <f aca="false">State_Data!A36</f>
        <v>Uttarakhand</v>
      </c>
      <c r="B38" s="5" t="n">
        <f aca="false">AVERAGE(State_Data!B36,State_Data!C36,State_Data!D36)</f>
        <v>21.17</v>
      </c>
      <c r="C38" s="5" t="n">
        <f aca="false">AVERAGE(State_Data!E36,State_Data!F36,State_Data!G36)</f>
        <v>24.3733333333333</v>
      </c>
      <c r="D38" s="2" t="n">
        <f aca="false">RANK(B38,$B$4:$B$39)</f>
        <v>17</v>
      </c>
      <c r="E38" s="2" t="n">
        <f aca="false">RANK(C38,$C$4:$C$39)</f>
        <v>15</v>
      </c>
      <c r="F38" s="5" t="n">
        <f aca="false">AVERAGE((State_Data!B36-AVERAGE(State_Data!$B$2:$B$37))/STDEV(State_Data!$B$2:$B$37),(State_Data!C36-AVERAGE(State_Data!$C$2:$C$37))/STDEV(State_Data!$C$2:$C$37),(State_Data!D36-AVERAGE(State_Data!$D$2:$D$37))/STDEV(State_Data!$D$2:$D$37))</f>
        <v>-0.124949765656226</v>
      </c>
      <c r="G38" s="5" t="n">
        <f aca="false">AVERAGE((State_Data!E36-AVERAGE(State_Data!$E$2:$E$37))/STDEV(State_Data!$E$2:$E$37),(State_Data!F36-AVERAGE(State_Data!$F$2:$F$37))/STDEV(State_Data!$F$2:$F$37),(State_Data!G36-AVERAGE(State_Data!$G$2:$G$37))/STDEV(State_Data!$G$2:$G$37))</f>
        <v>0.164549893999112</v>
      </c>
      <c r="H38" s="2" t="n">
        <f aca="false">RANK(F38,$F$4:$F$39)</f>
        <v>19</v>
      </c>
      <c r="I38" s="2" t="n">
        <f aca="false">RANK(G38,$G$4:$G$39)</f>
        <v>14</v>
      </c>
    </row>
    <row r="39" customFormat="false" ht="15" hidden="false" customHeight="false" outlineLevel="0" collapsed="false">
      <c r="A39" s="2" t="str">
        <f aca="false">State_Data!A37</f>
        <v>West Bengal</v>
      </c>
      <c r="B39" s="5" t="n">
        <f aca="false">AVERAGE(State_Data!B37,State_Data!C37,State_Data!D37)</f>
        <v>20.2266666666667</v>
      </c>
      <c r="C39" s="5" t="n">
        <f aca="false">AVERAGE(State_Data!E37,State_Data!F37,State_Data!G37)</f>
        <v>19.2066666666667</v>
      </c>
      <c r="D39" s="2" t="n">
        <f aca="false">RANK(B39,$B$4:$B$39)</f>
        <v>18</v>
      </c>
      <c r="E39" s="2" t="n">
        <f aca="false">RANK(C39,$C$4:$C$39)</f>
        <v>26</v>
      </c>
      <c r="F39" s="5" t="n">
        <f aca="false">AVERAGE((State_Data!B37-AVERAGE(State_Data!$B$2:$B$37))/STDEV(State_Data!$B$2:$B$37),(State_Data!C37-AVERAGE(State_Data!$C$2:$C$37))/STDEV(State_Data!$C$2:$C$37),(State_Data!D37-AVERAGE(State_Data!$D$2:$D$37))/STDEV(State_Data!$D$2:$D$37))</f>
        <v>-0.0439609756697551</v>
      </c>
      <c r="G39" s="5" t="n">
        <f aca="false">AVERAGE((State_Data!E37-AVERAGE(State_Data!$E$2:$E$37))/STDEV(State_Data!$E$2:$E$37),(State_Data!F37-AVERAGE(State_Data!$F$2:$F$37))/STDEV(State_Data!$F$2:$F$37),(State_Data!G37-AVERAGE(State_Data!$G$2:$G$37))/STDEV(State_Data!$G$2:$G$37))</f>
        <v>-0.34025528966543</v>
      </c>
      <c r="H39" s="2" t="n">
        <f aca="false">RANK(F39,$F$4:$F$39)</f>
        <v>17</v>
      </c>
      <c r="I39" s="2" t="n">
        <f aca="false">RANK(G39,$G$4:$G$39)</f>
        <v>23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2"/>
  </cols>
  <sheetData>
    <row r="1" customFormat="false" ht="24" hidden="false" customHeight="true" outlineLevel="0" collapsed="false">
      <c r="A1" s="3" t="s">
        <v>52</v>
      </c>
      <c r="B1" s="3"/>
      <c r="C1" s="3"/>
    </row>
    <row r="3" customFormat="false" ht="15" hidden="false" customHeight="false" outlineLevel="0" collapsed="false">
      <c r="A3" s="6" t="s">
        <v>53</v>
      </c>
    </row>
    <row r="4" customFormat="false" ht="15" hidden="false" customHeight="false" outlineLevel="0" collapsed="false">
      <c r="A4" s="7" t="s">
        <v>54</v>
      </c>
      <c r="B4" s="7" t="s">
        <v>55</v>
      </c>
      <c r="C4" s="7" t="s">
        <v>56</v>
      </c>
    </row>
    <row r="5" customFormat="false" ht="15" hidden="false" customHeight="false" outlineLevel="0" collapsed="false">
      <c r="A5" s="2" t="n">
        <v>1</v>
      </c>
      <c r="B5" s="2" t="str">
        <f aca="false">INDEX(LDIS_Score!$A$4:$A$39,MATCH(LARGE(LDIS_Score!$B$4:$B$39,1),LDIS_Score!$B$4:$B$39,0))</f>
        <v>Kerala</v>
      </c>
      <c r="C5" s="2" t="str">
        <f aca="false">INDEX(LDIS_Score!$A$4:$A$39,MATCH(LARGE(LDIS_Score!$F$4:$F$39,1),LDIS_Score!$F$4:$F$39,0))</f>
        <v>Kerala</v>
      </c>
    </row>
    <row r="6" customFormat="false" ht="15" hidden="false" customHeight="false" outlineLevel="0" collapsed="false">
      <c r="A6" s="2" t="n">
        <v>2</v>
      </c>
      <c r="B6" s="2" t="str">
        <f aca="false">INDEX(LDIS_Score!$A$4:$A$39,MATCH(LARGE(LDIS_Score!$B$4:$B$39,2),LDIS_Score!$B$4:$B$39,0))</f>
        <v>Puducherry</v>
      </c>
      <c r="C6" s="2" t="str">
        <f aca="false">INDEX(LDIS_Score!$A$4:$A$39,MATCH(LARGE(LDIS_Score!$F$4:$F$39,2),LDIS_Score!$F$4:$F$39,0))</f>
        <v>Goa</v>
      </c>
    </row>
    <row r="7" customFormat="false" ht="15" hidden="false" customHeight="false" outlineLevel="0" collapsed="false">
      <c r="A7" s="2" t="n">
        <v>3</v>
      </c>
      <c r="B7" s="2" t="str">
        <f aca="false">INDEX(LDIS_Score!$A$4:$A$39,MATCH(LARGE(LDIS_Score!$B$4:$B$39,3),LDIS_Score!$B$4:$B$39,0))</f>
        <v>Chandigarh</v>
      </c>
      <c r="C7" s="2" t="str">
        <f aca="false">INDEX(LDIS_Score!$A$4:$A$39,MATCH(LARGE(LDIS_Score!$F$4:$F$39,3),LDIS_Score!$F$4:$F$39,0))</f>
        <v>Punjab</v>
      </c>
    </row>
    <row r="8" customFormat="false" ht="15" hidden="false" customHeight="false" outlineLevel="0" collapsed="false">
      <c r="A8" s="2" t="n">
        <v>4</v>
      </c>
      <c r="B8" s="2" t="str">
        <f aca="false">INDEX(LDIS_Score!$A$4:$A$39,MATCH(LARGE(LDIS_Score!$B$4:$B$39,4),LDIS_Score!$B$4:$B$39,0))</f>
        <v>Punjab</v>
      </c>
      <c r="C8" s="2" t="str">
        <f aca="false">INDEX(LDIS_Score!$A$4:$A$39,MATCH(LARGE(LDIS_Score!$F$4:$F$39,4),LDIS_Score!$F$4:$F$39,0))</f>
        <v>Puducherry</v>
      </c>
    </row>
    <row r="9" customFormat="false" ht="15" hidden="false" customHeight="false" outlineLevel="0" collapsed="false">
      <c r="A9" s="2" t="n">
        <v>5</v>
      </c>
      <c r="B9" s="2" t="str">
        <f aca="false">INDEX(LDIS_Score!$A$4:$A$39,MATCH(LARGE(LDIS_Score!$B$4:$B$39,5),LDIS_Score!$B$4:$B$39,0))</f>
        <v>Tamil Nadu</v>
      </c>
      <c r="C9" s="2" t="str">
        <f aca="false">INDEX(LDIS_Score!$A$4:$A$39,MATCH(LARGE(LDIS_Score!$F$4:$F$39,5),LDIS_Score!$F$4:$F$39,0))</f>
        <v>Chandigarh</v>
      </c>
    </row>
    <row r="11" customFormat="false" ht="15" hidden="false" customHeight="false" outlineLevel="0" collapsed="false">
      <c r="A11" s="6" t="s">
        <v>57</v>
      </c>
    </row>
    <row r="12" customFormat="false" ht="15" hidden="false" customHeight="false" outlineLevel="0" collapsed="false">
      <c r="A12" s="7" t="s">
        <v>54</v>
      </c>
      <c r="B12" s="7" t="s">
        <v>55</v>
      </c>
      <c r="C12" s="7" t="s">
        <v>56</v>
      </c>
    </row>
    <row r="13" customFormat="false" ht="15" hidden="false" customHeight="false" outlineLevel="0" collapsed="false">
      <c r="A13" s="2" t="n">
        <v>1</v>
      </c>
      <c r="B13" s="2" t="str">
        <f aca="false">INDEX(LDIS_Score!$A$4:$A$39,MATCH(LARGE(LDIS_Score!$C$4:$C$39,1),LDIS_Score!$C$4:$C$39,0))</f>
        <v>Kerala</v>
      </c>
      <c r="C13" s="2" t="str">
        <f aca="false">INDEX(LDIS_Score!$A$4:$A$39,MATCH(LARGE(LDIS_Score!$G$4:$G$39,1),LDIS_Score!$G$4:$G$39,0))</f>
        <v>Kerala</v>
      </c>
    </row>
    <row r="14" customFormat="false" ht="15" hidden="false" customHeight="false" outlineLevel="0" collapsed="false">
      <c r="A14" s="2" t="n">
        <v>2</v>
      </c>
      <c r="B14" s="2" t="str">
        <f aca="false">INDEX(LDIS_Score!$A$4:$A$39,MATCH(LARGE(LDIS_Score!$C$4:$C$39,2),LDIS_Score!$C$4:$C$39,0))</f>
        <v>Puducherry</v>
      </c>
      <c r="C14" s="2" t="str">
        <f aca="false">INDEX(LDIS_Score!$A$4:$A$39,MATCH(LARGE(LDIS_Score!$G$4:$G$39,2),LDIS_Score!$G$4:$G$39,0))</f>
        <v>Puducherry</v>
      </c>
    </row>
    <row r="15" customFormat="false" ht="15" hidden="false" customHeight="false" outlineLevel="0" collapsed="false">
      <c r="A15" s="2" t="n">
        <v>3</v>
      </c>
      <c r="B15" s="2" t="str">
        <f aca="false">INDEX(LDIS_Score!$A$4:$A$39,MATCH(LARGE(LDIS_Score!$C$4:$C$39,3),LDIS_Score!$C$4:$C$39,0))</f>
        <v>Sikkim</v>
      </c>
      <c r="C15" s="2" t="str">
        <f aca="false">INDEX(LDIS_Score!$A$4:$A$39,MATCH(LARGE(LDIS_Score!$G$4:$G$39,3),LDIS_Score!$G$4:$G$39,0))</f>
        <v>Sikkim</v>
      </c>
    </row>
    <row r="16" customFormat="false" ht="15" hidden="false" customHeight="false" outlineLevel="0" collapsed="false">
      <c r="A16" s="2" t="n">
        <v>4</v>
      </c>
      <c r="B16" s="2" t="str">
        <f aca="false">INDEX(LDIS_Score!$A$4:$A$39,MATCH(LARGE(LDIS_Score!$C$4:$C$39,4),LDIS_Score!$C$4:$C$39,0))</f>
        <v>Andaman &amp; Nicobar Islands</v>
      </c>
      <c r="C16" s="2" t="str">
        <f aca="false">INDEX(LDIS_Score!$A$4:$A$39,MATCH(LARGE(LDIS_Score!$G$4:$G$39,4),LDIS_Score!$G$4:$G$39,0))</f>
        <v>Tamil Nadu</v>
      </c>
    </row>
    <row r="17" customFormat="false" ht="15" hidden="false" customHeight="false" outlineLevel="0" collapsed="false">
      <c r="A17" s="2" t="n">
        <v>5</v>
      </c>
      <c r="B17" s="2" t="str">
        <f aca="false">INDEX(LDIS_Score!$A$4:$A$39,MATCH(LARGE(LDIS_Score!$C$4:$C$39,5),LDIS_Score!$C$4:$C$39,0))</f>
        <v>Tamil Nadu</v>
      </c>
      <c r="C17" s="2" t="str">
        <f aca="false">INDEX(LDIS_Score!$A$4:$A$39,MATCH(LARGE(LDIS_Score!$G$4:$G$39,5),LDIS_Score!$G$4:$G$39,0))</f>
        <v>Andaman &amp; Nicobar Islands</v>
      </c>
    </row>
    <row r="19" customFormat="false" ht="15" hidden="false" customHeight="true" outlineLevel="0" collapsed="false">
      <c r="A19" s="8" t="s">
        <v>58</v>
      </c>
      <c r="B19" s="8"/>
      <c r="C19" s="8"/>
    </row>
    <row r="20" customFormat="false" ht="15" hidden="false" customHeight="false" outlineLevel="0" collapsed="false">
      <c r="A20" s="8"/>
      <c r="B20" s="8"/>
      <c r="C20" s="8"/>
    </row>
    <row r="21" customFormat="false" ht="15" hidden="false" customHeight="false" outlineLevel="0" collapsed="false">
      <c r="A21" s="8"/>
      <c r="B21" s="8"/>
      <c r="C21" s="8"/>
    </row>
  </sheetData>
  <mergeCells count="2">
    <mergeCell ref="A1:C1"/>
    <mergeCell ref="A19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2026-09-06T16:35:45Z</dcterms:created>
  <dc:creator>openpyxl</dc:creator>
  <dc:description/>
  <dc:language>en-US</dc:language>
  <cp:lastModifiedBy/>
  <dcterms:modified xsi:type="dcterms:W3CDTF">2026-09-06T16:35:45Z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